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  <sheet name="F2 Adjustments" sheetId="2" state="visible" r:id="rId2"/>
    <sheet name="F1 Receiving" sheetId="3" state="visible" r:id="rId3"/>
    <sheet name="F3 Transfers" sheetId="4" state="visible" r:id="rId4"/>
    <sheet name="F4 Manufacturing" sheetId="5" state="visible" r:id="rId5"/>
    <sheet name="F5 Shi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Calibri"/>
      <family val="2"/>
      <color theme="1"/>
      <sz val="11"/>
      <scheme val="minor"/>
    </font>
    <font>
      <name val="Arial"/>
      <b val="1"/>
      <color rgb="FFFFFFFF"/>
      <sz val="11"/>
      <scheme val="minor"/>
    </font>
    <font>
      <name val="Arial"/>
      <color rgb="FF8899AA"/>
      <sz val="9"/>
      <scheme val="minor"/>
    </font>
    <font>
      <name val="Arial"/>
      <b val="1"/>
      <color rgb="FFFFFFFF"/>
      <sz val="10"/>
    </font>
    <font>
      <name val="Arial"/>
      <b val="1"/>
      <color rgb="FFFFFFFF"/>
      <sz val="10"/>
      <scheme val="minor"/>
    </font>
    <font>
      <name val="Arial"/>
      <color rgb="FFFFFFFF"/>
      <scheme val="minor"/>
    </font>
    <font>
      <name val="Calibri"/>
      <b val="1"/>
      <color rgb="00FFFFFF"/>
      <sz val="9"/>
    </font>
    <font>
      <name val="Calibri"/>
      <b val="1"/>
      <color rgb="00556677"/>
      <sz val="8"/>
    </font>
    <font>
      <name val="Calibri"/>
      <b val="1"/>
      <color rgb="00FFB347"/>
      <sz val="8"/>
    </font>
    <font>
      <name val="Calibri"/>
      <b val="1"/>
      <color rgb="0095D5B2"/>
      <sz val="8"/>
    </font>
    <font>
      <name val="Calibri"/>
      <color rgb="008899AA"/>
      <sz val="8"/>
    </font>
    <font>
      <name val="Arial"/>
      <color theme="1"/>
      <scheme val="minor"/>
    </font>
    <font>
      <color rgb="FF0000FF"/>
      <u val="single"/>
    </font>
    <font>
      <name val="Arial"/>
      <color rgb="FF000000"/>
      <sz val="10"/>
      <scheme val="minor"/>
    </font>
    <font>
      <name val="Calibri"/>
      <b val="1"/>
      <color rgb="00BB3300"/>
      <sz val="9"/>
    </font>
    <font>
      <name val="Calibri"/>
      <i val="1"/>
      <color rgb="00CC2200"/>
      <sz val="9"/>
    </font>
    <font>
      <name val="Calibri"/>
      <b val="1"/>
      <color rgb="00CC2200"/>
      <sz val="9"/>
    </font>
    <font>
      <name val="Arial"/>
      <b val="1"/>
      <color rgb="FFFFFFFF"/>
      <scheme val="minor"/>
    </font>
    <font>
      <name val="Arial"/>
      <b val="1"/>
      <color rgb="FF1565C0"/>
      <scheme val="minor"/>
    </font>
    <font>
      <name val="Arial"/>
      <color rgb="FF666666"/>
      <sz val="9"/>
      <scheme val="minor"/>
    </font>
    <font>
      <color rgb="FF1155CC"/>
      <u val="single"/>
    </font>
    <font>
      <name val="Arial"/>
      <color rgb="FF1155CC"/>
      <u val="single"/>
      <scheme val="minor"/>
    </font>
  </fonts>
  <fills count="9">
    <fill>
      <patternFill/>
    </fill>
    <fill>
      <patternFill patternType="gray125"/>
    </fill>
    <fill>
      <patternFill patternType="solid">
        <fgColor rgb="FF1C2333"/>
        <bgColor rgb="FF1C2333"/>
      </patternFill>
    </fill>
    <fill>
      <patternFill patternType="solid">
        <fgColor rgb="001C2333"/>
      </patternFill>
    </fill>
    <fill>
      <patternFill patternType="solid">
        <fgColor rgb="00111E2D"/>
      </patternFill>
    </fill>
    <fill>
      <patternFill patternType="solid">
        <fgColor rgb="003D2000"/>
      </patternFill>
    </fill>
    <fill>
      <patternFill patternType="solid">
        <fgColor rgb="001B4332"/>
      </patternFill>
    </fill>
    <fill>
      <patternFill patternType="solid">
        <fgColor rgb="00FFF0F0"/>
      </patternFill>
    </fill>
    <fill>
      <patternFill patternType="solid">
        <fgColor rgb="FF1F2937"/>
        <bgColor rgb="FF1F2937"/>
      </patternFill>
    </fill>
  </fills>
  <borders count="3">
    <border>
      <left/>
      <right/>
      <top/>
      <bottom/>
      <diagonal/>
    </border>
    <border>
      <left style="medium">
        <color rgb="00FFA726"/>
      </left>
      <right style="medium">
        <color rgb="00FFA726"/>
      </right>
      <top style="medium">
        <color rgb="00FFA726"/>
      </top>
      <bottom style="medium">
        <color rgb="00FFA726"/>
      </bottom>
    </border>
    <border>
      <left style="medium">
        <color rgb="001DB954"/>
      </left>
      <right style="medium">
        <color rgb="001DB954"/>
      </right>
      <top style="medium">
        <color rgb="001DB954"/>
      </top>
      <bottom style="medium">
        <color rgb="001DB95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6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bottom"/>
    </xf>
    <xf numFmtId="0" fontId="3" fillId="2" borderId="0" applyAlignment="1" pivotButton="0" quotePrefix="0" xfId="0">
      <alignment vertical="bottom"/>
    </xf>
    <xf numFmtId="0" fontId="4" fillId="2" borderId="0" pivotButton="0" quotePrefix="0" xfId="0"/>
    <xf numFmtId="0" fontId="5" fillId="2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5" fillId="7" borderId="0" pivotButton="0" quotePrefix="0" xfId="0"/>
    <xf numFmtId="0" fontId="16" fillId="7" borderId="0" pivotButton="0" quotePrefix="0" xfId="0"/>
    <xf numFmtId="0" fontId="17" fillId="8" borderId="0" pivotButton="0" quotePrefix="0" xfId="0"/>
    <xf numFmtId="0" fontId="18" fillId="0" borderId="0" pivotButton="0" quotePrefix="0" xfId="0"/>
    <xf numFmtId="0" fontId="19" fillId="2" borderId="0" pivotButton="0" quotePrefix="0" xfId="0"/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75" customWidth="1" min="1" max="1"/>
    <col width="16.63" customWidth="1" min="2" max="2"/>
    <col width="19.38" customWidth="1" min="3" max="3"/>
    <col width="88" customWidth="1" min="4" max="4"/>
    <col width="10.13" customWidth="1" min="5" max="5"/>
    <col width="35" customWidth="1" min="6" max="6"/>
    <col width="2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" customWidth="1" min="14" max="14"/>
  </cols>
  <sheetData>
    <row r="1" ht="22" customHeight="1">
      <c r="A1" s="1" t="inlineStr">
        <is>
          <t>ACTIVITY LOG</t>
        </is>
      </c>
      <c r="B1" s="1" t="n"/>
      <c r="C1" s="1" t="n"/>
      <c r="D1" s="1" t="inlineStr">
        <is>
          <t>Katana-WASP Inventory Sync</t>
        </is>
      </c>
      <c r="E1" s="2" t="n"/>
      <c r="F1" s="2" t="n"/>
      <c r="G1" s="3" t="n"/>
      <c r="H1" s="4" t="inlineStr">
        <is>
          <t>DAILY FLOW COVERAGE</t>
        </is>
      </c>
      <c r="N1" s="5" t="inlineStr">
        <is>
          <t>Synced
08:00
2026-03-05</t>
        </is>
      </c>
    </row>
    <row r="2" ht="34" customHeight="1">
      <c r="A2" s="2" t="inlineStr">
        <is>
          <t>All Flows — Chronological</t>
        </is>
      </c>
      <c r="B2" s="2" t="n"/>
      <c r="C2" s="2" t="n"/>
      <c r="D2" s="2" t="n"/>
      <c r="E2" s="2" t="n"/>
      <c r="F2" s="2" t="n"/>
      <c r="G2" s="3" t="n"/>
      <c r="H2" s="6" t="inlineStr">
        <is>
          <t>F1 Receiving
– –</t>
        </is>
      </c>
      <c r="I2" s="7" t="inlineStr">
        <is>
          <t>F2 Adjustments
6/7 !</t>
        </is>
      </c>
      <c r="J2" s="6" t="inlineStr">
        <is>
          <t>F3 Transfers
– –</t>
        </is>
      </c>
      <c r="K2" s="8" t="inlineStr">
        <is>
          <t>F4 Manufacturing
9/9 ✓</t>
        </is>
      </c>
      <c r="L2" s="8" t="inlineStr">
        <is>
          <t>F5 Shipping
64/64 ✓</t>
        </is>
      </c>
      <c r="M2" s="6" t="inlineStr">
        <is>
          <t>F6 Amazon FBA
– –</t>
        </is>
      </c>
    </row>
    <row r="3" ht="15" customHeight="1">
      <c r="A3" s="9" t="inlineStr">
        <is>
          <t>ID</t>
        </is>
      </c>
      <c r="B3" s="10" t="inlineStr">
        <is>
          <t>Time</t>
        </is>
      </c>
      <c r="C3" s="11" t="inlineStr">
        <is>
          <t>Flow</t>
        </is>
      </c>
      <c r="D3" s="11" t="inlineStr">
        <is>
          <t>Details</t>
        </is>
      </c>
      <c r="E3" s="12" t="inlineStr">
        <is>
          <t>Status</t>
        </is>
      </c>
      <c r="F3" s="12" t="inlineStr">
        <is>
          <t>Error</t>
        </is>
      </c>
      <c r="G3" s="3" t="n"/>
      <c r="H3" s="3" t="n"/>
      <c r="I3" s="3" t="n"/>
      <c r="J3" s="3" t="n"/>
      <c r="K3" s="3" t="n"/>
      <c r="L3" s="3" t="n"/>
      <c r="M3" s="3" t="n"/>
      <c r="N3" s="3" t="n"/>
    </row>
    <row r="4" ht="13" customHeight="1">
      <c r="A4" s="13" t="inlineStr">
        <is>
          <t>WK-010</t>
        </is>
      </c>
      <c r="B4" s="14" t="n">
        <v>46083.28680555556</v>
      </c>
      <c r="C4" s="13" t="inlineStr">
        <is>
          <t>F2 Adjustments</t>
        </is>
      </c>
      <c r="D4" s="15" t="inlineStr">
        <is>
          <t>WASP Adjustment  4OZSEAL x3  WASP → Katana @ PRODUCTION @ MMH Kelowna</t>
        </is>
      </c>
      <c r="E4" s="13" t="inlineStr">
        <is>
          <t>Synced</t>
        </is>
      </c>
      <c r="F4" s="13" t="n"/>
    </row>
    <row r="5" ht="13" customHeight="1">
      <c r="A5" s="16" t="n"/>
      <c r="B5" s="13" t="n"/>
      <c r="C5" s="16" t="n"/>
      <c r="D5" s="13" t="inlineStr">
        <is>
          <t xml:space="preserve">    └─ 4OZSEAL x3  PRODUCTION  add</t>
        </is>
      </c>
      <c r="E5" s="13" t="inlineStr">
        <is>
          <t>Synced</t>
        </is>
      </c>
      <c r="F5" s="16" t="n"/>
    </row>
    <row r="6" ht="13" customHeight="1">
      <c r="A6" s="13" t="inlineStr">
        <is>
          <t>WK-016</t>
        </is>
      </c>
      <c r="B6" s="14" t="n">
        <v>46083.29791666667</v>
      </c>
      <c r="C6" s="13" t="inlineStr">
        <is>
          <t>F2 Adjustments</t>
        </is>
      </c>
      <c r="D6" s="15" t="inlineStr">
        <is>
          <t>WASP Adjustment  EO-LAV x2  WASP → Katana @ PRODUCTION @ MMH Kelowna</t>
        </is>
      </c>
      <c r="E6" s="13" t="inlineStr">
        <is>
          <t>Synced</t>
        </is>
      </c>
      <c r="F6" s="13" t="n"/>
    </row>
    <row r="7" ht="13" customHeight="1">
      <c r="A7" s="16" t="n"/>
      <c r="B7" s="16" t="n"/>
      <c r="C7" s="16" t="n"/>
      <c r="D7" s="13" t="inlineStr">
        <is>
          <t xml:space="preserve">    └─ EO-LAV x2  PRODUCTION  add</t>
        </is>
      </c>
      <c r="E7" s="13" t="inlineStr">
        <is>
          <t>Synced</t>
        </is>
      </c>
      <c r="F7" s="16" t="n"/>
    </row>
    <row r="8" ht="13" customHeight="1">
      <c r="A8" s="13" t="inlineStr">
        <is>
          <t>WK-020</t>
        </is>
      </c>
      <c r="B8" s="14" t="n">
        <v>46083.30347222222</v>
      </c>
      <c r="C8" s="13" t="inlineStr">
        <is>
          <t>F2 Adjustments</t>
        </is>
      </c>
      <c r="D8" s="15" t="inlineStr">
        <is>
          <t>WASP Adjustment  LUP-1 x15  WASP → Katana @ PRODUCTION @ MMH Kelowna</t>
        </is>
      </c>
      <c r="E8" s="13" t="inlineStr">
        <is>
          <t>Synced</t>
        </is>
      </c>
      <c r="F8" s="13" t="n"/>
    </row>
    <row r="9" ht="13" customHeight="1">
      <c r="A9" s="13" t="n"/>
      <c r="B9" s="13" t="n"/>
      <c r="C9" s="13" t="n"/>
      <c r="D9" s="13" t="inlineStr">
        <is>
          <t xml:space="preserve">    └─ LUP-1 x15  PRODUCTION  remove</t>
        </is>
      </c>
      <c r="E9" s="13" t="inlineStr">
        <is>
          <t>Synced</t>
        </is>
      </c>
      <c r="F9" s="16" t="n"/>
    </row>
    <row r="10" ht="13" customHeight="1">
      <c r="A10" s="13" t="inlineStr">
        <is>
          <t>WK-022</t>
        </is>
      </c>
      <c r="B10" s="14" t="n">
        <v>46083.30347222222</v>
      </c>
      <c r="C10" s="13" t="inlineStr">
        <is>
          <t>F2 Adjustments</t>
        </is>
      </c>
      <c r="D10" s="15" t="inlineStr">
        <is>
          <t>WASP Adjustment  LUP-1 x71  WASP → Katana @ PRODUCTION @ MMH Kelowna</t>
        </is>
      </c>
      <c r="E10" s="13" t="inlineStr">
        <is>
          <t>Synced</t>
        </is>
      </c>
      <c r="F10" s="13" t="n"/>
    </row>
    <row r="11" ht="13" customHeight="1">
      <c r="A11" s="13" t="n"/>
      <c r="B11" s="13" t="n"/>
      <c r="C11" s="13" t="n"/>
      <c r="D11" s="13" t="inlineStr">
        <is>
          <t xml:space="preserve">    └─ LUP-1 x71  PRODUCTION  remove</t>
        </is>
      </c>
      <c r="E11" s="13" t="inlineStr">
        <is>
          <t>Synced</t>
        </is>
      </c>
      <c r="F11" s="16" t="n"/>
    </row>
    <row r="12" ht="13" customHeight="1">
      <c r="A12" s="13" t="inlineStr">
        <is>
          <t>WK-025</t>
        </is>
      </c>
      <c r="B12" s="14" t="n">
        <v>46083.30347222222</v>
      </c>
      <c r="C12" s="13" t="inlineStr">
        <is>
          <t>F3 Transfers</t>
        </is>
      </c>
      <c r="D12" s="15" t="inlineStr">
        <is>
          <t>ST-246  1 item  SW-STORAGE @ Storage Warehouse → RECEIVING-DOCK @ MMH Kelowna</t>
        </is>
      </c>
      <c r="E12" s="13" t="inlineStr">
        <is>
          <t>Synced</t>
        </is>
      </c>
      <c r="F12" s="13" t="n"/>
    </row>
    <row r="13" ht="13" customHeight="1">
      <c r="A13" s="13" t="n"/>
      <c r="B13" s="13" t="n"/>
      <c r="C13" s="13" t="n"/>
      <c r="D13" s="13" t="inlineStr">
        <is>
          <t xml:space="preserve">    └─ CAR-2OZ x1  SW-STORAGE → RECEIVING-DOCK</t>
        </is>
      </c>
      <c r="E13" s="13" t="inlineStr">
        <is>
          <t>Synced</t>
        </is>
      </c>
      <c r="F13" s="16" t="n"/>
    </row>
    <row r="14" ht="13" customHeight="1">
      <c r="A14" s="13" t="inlineStr">
        <is>
          <t>WK-026</t>
        </is>
      </c>
      <c r="B14" s="14" t="n">
        <v>46083.3125</v>
      </c>
      <c r="C14" s="13" t="inlineStr">
        <is>
          <t>F4 Manufacturing</t>
        </is>
      </c>
      <c r="D14" s="15" t="inlineStr">
        <is>
          <t>MO-7278 // Mar 02  IPLJ-4 x1423  → PRODUCTION</t>
        </is>
      </c>
      <c r="E14" s="13" t="inlineStr">
        <is>
          <t>Complete</t>
        </is>
      </c>
      <c r="F14" s="13" t="n"/>
    </row>
    <row r="15" ht="13" customHeight="1">
      <c r="A15" s="13" t="n"/>
      <c r="B15" s="13" t="n"/>
      <c r="C15" s="13" t="n"/>
      <c r="D15" s="13" t="inlineStr">
        <is>
          <t xml:space="preserve">    ├─ AGJAR-4 x1423  PRODUCTION</t>
        </is>
      </c>
      <c r="E15" s="13" t="inlineStr">
        <is>
          <t>Consumed</t>
        </is>
      </c>
      <c r="F15" s="16" t="n"/>
    </row>
    <row r="16" ht="13" customHeight="1">
      <c r="A16" s="16" t="n"/>
      <c r="B16" s="13" t="n"/>
      <c r="C16" s="16" t="n"/>
      <c r="D16" s="13" t="inlineStr">
        <is>
          <t xml:space="preserve">    └─ IPLJ-4 x1423  PRODUCTION</t>
        </is>
      </c>
      <c r="E16" s="13" t="inlineStr">
        <is>
          <t>Produced</t>
        </is>
      </c>
      <c r="F16" s="16" t="n"/>
    </row>
    <row r="17" ht="13" customHeight="1">
      <c r="A17" s="13" t="inlineStr">
        <is>
          <t>WK-027</t>
        </is>
      </c>
      <c r="B17" s="14" t="n">
        <v>46083.35069444445</v>
      </c>
      <c r="C17" s="13" t="inlineStr">
        <is>
          <t>F4 Manufacturing</t>
        </is>
      </c>
      <c r="D17" s="15" t="inlineStr">
        <is>
          <t>MO-7269 // Mar 02  IP-EGG x3220  → PRODUCTION</t>
        </is>
      </c>
      <c r="E17" s="13" t="inlineStr">
        <is>
          <t>Complete</t>
        </is>
      </c>
      <c r="F17" s="13" t="inlineStr">
        <is>
          <t>1 skipped, 1 warning</t>
        </is>
      </c>
    </row>
    <row r="18" ht="13" customHeight="1">
      <c r="A18" s="16" t="n"/>
      <c r="B18" s="13" t="n"/>
      <c r="C18" s="16" t="n"/>
      <c r="D18" s="13" t="inlineStr">
        <is>
          <t xml:space="preserve">    ├─ EGG-X x197  PRODUCTION</t>
        </is>
      </c>
      <c r="E18" s="13" t="inlineStr">
        <is>
          <t>Consumed</t>
        </is>
      </c>
      <c r="F18" s="13" t="inlineStr">
        <is>
          <t xml:space="preserve">FIXED </t>
        </is>
      </c>
    </row>
    <row r="19" ht="13" customHeight="1">
      <c r="A19" s="16" t="n"/>
      <c r="B19" s="13" t="n"/>
      <c r="C19" s="16" t="n"/>
      <c r="D19" s="13" t="inlineStr">
        <is>
          <t xml:space="preserve">    └─ IP-EGG x3220  PRODUCTION</t>
        </is>
      </c>
      <c r="E19" s="13" t="inlineStr">
        <is>
          <t>Produced</t>
        </is>
      </c>
      <c r="F19" s="16" t="n"/>
    </row>
    <row r="20" ht="13" customHeight="1">
      <c r="A20" s="13" t="inlineStr">
        <is>
          <t>WK-028</t>
        </is>
      </c>
      <c r="B20" s="14" t="n">
        <v>46083.35138888889</v>
      </c>
      <c r="C20" s="13" t="inlineStr">
        <is>
          <t>F4 Manufacturing</t>
        </is>
      </c>
      <c r="D20" s="15" t="inlineStr">
        <is>
          <t>MO-7270 // Mar 02  IP-EGG x3250  → PRODUCTION</t>
        </is>
      </c>
      <c r="E20" s="13" t="inlineStr">
        <is>
          <t>Complete</t>
        </is>
      </c>
      <c r="F20" s="13" t="inlineStr">
        <is>
          <t>1 skipped, 1 warning</t>
        </is>
      </c>
    </row>
    <row r="21" ht="13" customHeight="1">
      <c r="A21" s="16" t="n"/>
      <c r="B21" s="16" t="n"/>
      <c r="C21" s="16" t="n"/>
      <c r="D21" s="13" t="inlineStr">
        <is>
          <t xml:space="preserve">    ├─ EGG-X x197  PRODUCTION</t>
        </is>
      </c>
      <c r="E21" s="13" t="inlineStr">
        <is>
          <t>Consumed</t>
        </is>
      </c>
      <c r="F21" s="13" t="inlineStr">
        <is>
          <t>FIXED</t>
        </is>
      </c>
    </row>
    <row r="22" ht="13" customHeight="1">
      <c r="A22" s="16" t="n"/>
      <c r="B22" s="13" t="n"/>
      <c r="C22" s="16" t="n"/>
      <c r="D22" s="13" t="inlineStr">
        <is>
          <t xml:space="preserve">    └─ IP-EGG x3250  PRODUCTION</t>
        </is>
      </c>
      <c r="E22" s="13" t="inlineStr">
        <is>
          <t>Produced</t>
        </is>
      </c>
      <c r="F22" s="16" t="n"/>
    </row>
    <row r="23" ht="13" customHeight="1">
      <c r="A23" s="13" t="inlineStr">
        <is>
          <t>WK-029</t>
        </is>
      </c>
      <c r="B23" s="14" t="n">
        <v>46083.38541666666</v>
      </c>
      <c r="C23" s="13" t="inlineStr">
        <is>
          <t>F4 Manufacturing</t>
        </is>
      </c>
      <c r="D23" s="15" t="inlineStr">
        <is>
          <t>MO-7268 // FEB 27  UFC-4OZ x936  → PROD-RECEIVING</t>
        </is>
      </c>
      <c r="E23" s="13" t="inlineStr">
        <is>
          <t>Complete</t>
        </is>
      </c>
      <c r="F23" s="13" t="n"/>
    </row>
    <row r="24" ht="13" customHeight="1">
      <c r="A24" s="16" t="n"/>
      <c r="B24" s="13" t="n"/>
      <c r="C24" s="16" t="n"/>
      <c r="D24" s="13" t="inlineStr">
        <is>
          <t xml:space="preserve">    ├─ LUP-4 x936  PRODUCTION (3 batches)</t>
        </is>
      </c>
      <c r="E24" s="13" t="n"/>
      <c r="F24" s="16" t="n"/>
    </row>
    <row r="25" ht="13" customHeight="1">
      <c r="A25" s="13" t="n"/>
      <c r="B25" s="13" t="n"/>
      <c r="C25" s="13" t="n"/>
      <c r="D25" s="13" t="inlineStr">
        <is>
          <t xml:space="preserve">    │   ├─ x475  lot:UFC409C exp:2029-02-28</t>
        </is>
      </c>
      <c r="E25" s="13" t="inlineStr">
        <is>
          <t>Consumed</t>
        </is>
      </c>
      <c r="F25" s="13" t="inlineStr">
        <is>
          <t>FIXED</t>
        </is>
      </c>
    </row>
    <row r="26" ht="13" customHeight="1">
      <c r="A26" s="13" t="n"/>
      <c r="B26" s="13" t="n"/>
      <c r="C26" s="13" t="n"/>
      <c r="D26" s="13" t="inlineStr">
        <is>
          <t xml:space="preserve">    │   ├─ x270  lot:UFC409B  exp:2029-02-28</t>
        </is>
      </c>
      <c r="E26" s="13" t="inlineStr">
        <is>
          <t>Consumed</t>
        </is>
      </c>
      <c r="F26" s="13" t="inlineStr">
        <is>
          <t>FIXED</t>
        </is>
      </c>
    </row>
    <row r="27" ht="13" customHeight="1">
      <c r="A27" s="16" t="n"/>
      <c r="B27" s="13" t="n"/>
      <c r="C27" s="16" t="n"/>
      <c r="D27" s="13" t="inlineStr">
        <is>
          <t xml:space="preserve">    │   └─ x191  lot:UFC410A  exp:2029-02-28</t>
        </is>
      </c>
      <c r="E27" s="13" t="inlineStr">
        <is>
          <t>Consumed</t>
        </is>
      </c>
      <c r="F27" s="16" t="n"/>
    </row>
    <row r="28" ht="13" customHeight="1">
      <c r="A28" s="16" t="n"/>
      <c r="B28" s="13" t="n"/>
      <c r="C28" s="16" t="n"/>
      <c r="D28" s="13" t="inlineStr">
        <is>
          <t xml:space="preserve">    ├─ L-M x936  PRODUCTION</t>
        </is>
      </c>
      <c r="E28" s="13" t="inlineStr">
        <is>
          <t>Consumed</t>
        </is>
      </c>
      <c r="F28" s="16" t="n"/>
    </row>
    <row r="29" ht="13" customHeight="1">
      <c r="A29" s="13" t="n"/>
      <c r="B29" s="13" t="n"/>
      <c r="C29" s="13" t="n"/>
      <c r="D29" s="13" t="inlineStr">
        <is>
          <t xml:space="preserve">    ├─ NI-B221210 x12.99  PRODUCTION</t>
        </is>
      </c>
      <c r="E29" s="13" t="inlineStr">
        <is>
          <t>Consumed</t>
        </is>
      </c>
      <c r="F29" s="16" t="n"/>
    </row>
    <row r="30" ht="13" customHeight="1">
      <c r="A30" s="16" t="n"/>
      <c r="B30" s="13" t="n"/>
      <c r="C30" s="16" t="n"/>
      <c r="D30" s="13" t="inlineStr">
        <is>
          <t xml:space="preserve">    ├─ FBA-FRAGILE x25.99272  PRODUCTION</t>
        </is>
      </c>
      <c r="E30" s="13" t="inlineStr">
        <is>
          <t>Consumed</t>
        </is>
      </c>
      <c r="F30" s="16" t="n"/>
    </row>
    <row r="31" ht="13" customHeight="1">
      <c r="A31" s="13" t="n"/>
      <c r="B31" s="13" t="n"/>
      <c r="C31" s="13" t="n"/>
      <c r="D31" s="13" t="inlineStr">
        <is>
          <t xml:space="preserve">    ├─ B-PURPLE-4 x936  PRODUCTION</t>
        </is>
      </c>
      <c r="E31" s="13" t="inlineStr">
        <is>
          <t>Consumed</t>
        </is>
      </c>
      <c r="F31" s="13" t="n"/>
    </row>
    <row r="32" ht="13" customHeight="1">
      <c r="A32" s="16" t="n"/>
      <c r="B32" s="13" t="n"/>
      <c r="C32" s="16" t="n"/>
      <c r="D32" s="13" t="inlineStr">
        <is>
          <t xml:space="preserve">    └─ UFC-4OZ x936  PROD-RECEIVING</t>
        </is>
      </c>
      <c r="E32" s="13" t="inlineStr">
        <is>
          <t>Produced</t>
        </is>
      </c>
      <c r="F32" s="16" t="n"/>
    </row>
    <row r="33" ht="13" customHeight="1">
      <c r="A33" s="13" t="inlineStr">
        <is>
          <t>WK-030</t>
        </is>
      </c>
      <c r="B33" s="14" t="n">
        <v>46083.41111111111</v>
      </c>
      <c r="C33" s="13" t="inlineStr">
        <is>
          <t>F4 Manufacturing</t>
        </is>
      </c>
      <c r="D33" s="15" t="inlineStr">
        <is>
          <t>MO-7285 (UFC414A) // MAR 02  MS-IP-4 x478  UFC414A  → PRODUCTION</t>
        </is>
      </c>
      <c r="E33" s="13" t="inlineStr">
        <is>
          <t>Complete</t>
        </is>
      </c>
      <c r="F33" s="13" t="n"/>
    </row>
    <row r="34" ht="13" customHeight="1">
      <c r="A34" s="13" t="n"/>
      <c r="B34" s="13" t="n"/>
      <c r="C34" s="13" t="n"/>
      <c r="D34" s="13" t="inlineStr">
        <is>
          <t xml:space="preserve">    ├─ LABSSEAL-4 x478  PRODUCTION</t>
        </is>
      </c>
      <c r="E34" s="13" t="inlineStr">
        <is>
          <t>Consumed</t>
        </is>
      </c>
      <c r="F34" s="16" t="n"/>
    </row>
    <row r="35" ht="13" customHeight="1">
      <c r="A35" s="13" t="n"/>
      <c r="B35" s="13" t="n"/>
      <c r="C35" s="13" t="n"/>
      <c r="D35" s="13" t="inlineStr">
        <is>
          <t xml:space="preserve">    ├─ G-OIL x2.04  PRODUCTION  lot:06603/25  exp:2028-06-30</t>
        </is>
      </c>
      <c r="E35" s="13" t="inlineStr">
        <is>
          <t>Consumed</t>
        </is>
      </c>
      <c r="F35" s="13" t="n"/>
    </row>
    <row r="36" ht="13" customHeight="1">
      <c r="A36" s="16" t="n"/>
      <c r="B36" s="13" t="n"/>
      <c r="C36" s="16" t="n"/>
      <c r="D36" s="13" t="inlineStr">
        <is>
          <t xml:space="preserve">    ├─ B-WAX x7200  PRODUCTION  lot:MHF121525  exp:2026-12-15</t>
        </is>
      </c>
      <c r="E36" s="13" t="inlineStr">
        <is>
          <t>Consumed</t>
        </is>
      </c>
      <c r="F36" s="16" t="n"/>
    </row>
    <row r="37" ht="13" customHeight="1">
      <c r="A37" s="16" t="n"/>
      <c r="B37" s="13" t="n"/>
      <c r="C37" s="16" t="n"/>
      <c r="D37" s="13" t="inlineStr">
        <is>
          <t xml:space="preserve">    ├─ IP-EGG x3200  PRODUCTION</t>
        </is>
      </c>
      <c r="E37" s="13" t="inlineStr">
        <is>
          <t>Consumed</t>
        </is>
      </c>
      <c r="F37" s="16" t="n"/>
    </row>
    <row r="38" ht="13" customHeight="1">
      <c r="A38" s="16" t="n"/>
      <c r="B38" s="13" t="n"/>
      <c r="C38" s="16" t="n"/>
      <c r="D38" s="13" t="inlineStr">
        <is>
          <t xml:space="preserve">    ├─ PROPOLIS160 x1  PRODUCTION</t>
        </is>
      </c>
      <c r="E38" s="13" t="inlineStr">
        <is>
          <t>Consumed</t>
        </is>
      </c>
      <c r="F38" s="13" t="n"/>
    </row>
    <row r="39" ht="13" customHeight="1">
      <c r="A39" s="16" t="n"/>
      <c r="B39" s="13" t="n"/>
      <c r="C39" s="16" t="n"/>
      <c r="D39" s="13" t="inlineStr">
        <is>
          <t xml:space="preserve">    ├─ EO-LAV x300  PRODUCTION  lot:5005828385  exp:2029-07-01</t>
        </is>
      </c>
      <c r="E39" s="13" t="inlineStr">
        <is>
          <t>Consumed</t>
        </is>
      </c>
      <c r="F39" s="16" t="n"/>
    </row>
    <row r="40" ht="13" customHeight="1">
      <c r="A40" s="16" t="n"/>
      <c r="B40" s="13" t="n"/>
      <c r="C40" s="16" t="n"/>
      <c r="D40" s="13" t="inlineStr">
        <is>
          <t xml:space="preserve">    ├─ IPLJ-4 x478  PRODUCTION</t>
        </is>
      </c>
      <c r="E40" s="13" t="inlineStr">
        <is>
          <t>Consumed</t>
        </is>
      </c>
      <c r="F40" s="16" t="n"/>
    </row>
    <row r="41" ht="13" customHeight="1">
      <c r="A41" s="13" t="n"/>
      <c r="B41" s="13" t="n"/>
      <c r="C41" s="13" t="n"/>
      <c r="D41" s="13" t="inlineStr">
        <is>
          <t xml:space="preserve">    ├─ O-OIL x38.348  PRODUCTION  lot:47/2025  exp:2028-09-30</t>
        </is>
      </c>
      <c r="E41" s="13" t="inlineStr">
        <is>
          <t>Consumed</t>
        </is>
      </c>
      <c r="F41" s="16" t="n"/>
    </row>
    <row r="42" ht="13" customHeight="1">
      <c r="A42" s="16" t="n"/>
      <c r="B42" s="16" t="n"/>
      <c r="C42" s="16" t="n"/>
      <c r="D42" s="13" t="inlineStr">
        <is>
          <t xml:space="preserve">    └─ MS-IP-4 x478  PRODUCTION  lot:UFC414A  exp:2029-03-02</t>
        </is>
      </c>
      <c r="E42" s="13" t="inlineStr">
        <is>
          <t>Produced</t>
        </is>
      </c>
      <c r="F42" s="16" t="n"/>
    </row>
    <row r="43" ht="13" customHeight="1">
      <c r="A43" s="13" t="inlineStr">
        <is>
          <t>WK-031</t>
        </is>
      </c>
      <c r="B43" s="14" t="n">
        <v>46083.44861111111</v>
      </c>
      <c r="C43" s="13" t="inlineStr">
        <is>
          <t>F4 Manufacturing</t>
        </is>
      </c>
      <c r="D43" s="15" t="inlineStr">
        <is>
          <t>MO-7305 // MAR 02  UFC-4OZ x576  → PROD-RECEIVING</t>
        </is>
      </c>
      <c r="E43" s="13" t="inlineStr">
        <is>
          <t>Complete</t>
        </is>
      </c>
      <c r="F43" s="13" t="n"/>
    </row>
    <row r="44" ht="13" customHeight="1">
      <c r="A44" s="16" t="n"/>
      <c r="B44" s="16" t="n"/>
      <c r="C44" s="16" t="n"/>
      <c r="D44" s="13" t="inlineStr">
        <is>
          <t xml:space="preserve">    ├─ B-PURPLE-4 x576  PRODUCTION</t>
        </is>
      </c>
      <c r="E44" s="13" t="inlineStr">
        <is>
          <t>Consumed</t>
        </is>
      </c>
      <c r="F44" s="16" t="n"/>
    </row>
    <row r="45" ht="13" customHeight="1">
      <c r="A45" s="13" t="n"/>
      <c r="B45" s="13" t="n"/>
      <c r="C45" s="13" t="n"/>
      <c r="D45" s="13" t="inlineStr">
        <is>
          <t xml:space="preserve">    ├─ LUP-4 x576  PRODUCTION (2 batches)</t>
        </is>
      </c>
      <c r="E45" s="13" t="n"/>
      <c r="F45" s="13" t="n"/>
    </row>
    <row r="46" ht="13" customHeight="1">
      <c r="A46" s="16" t="n"/>
      <c r="B46" s="13" t="n"/>
      <c r="C46" s="16" t="n"/>
      <c r="D46" s="13" t="inlineStr">
        <is>
          <t xml:space="preserve">    │   ├─ x474  lot:UFC412A  exp:2029-02-28</t>
        </is>
      </c>
      <c r="E46" s="13" t="inlineStr">
        <is>
          <t>Consumed</t>
        </is>
      </c>
      <c r="F46" s="16" t="n"/>
    </row>
    <row r="47" ht="13" customHeight="1">
      <c r="A47" s="16" t="n"/>
      <c r="B47" s="16" t="n"/>
      <c r="C47" s="16" t="n"/>
      <c r="D47" s="13" t="inlineStr">
        <is>
          <t xml:space="preserve">    │   └─ x102  lot:UFC407B  exp:2029-02-28</t>
        </is>
      </c>
      <c r="E47" s="13" t="inlineStr">
        <is>
          <t>Consumed</t>
        </is>
      </c>
      <c r="F47" s="16" t="n"/>
    </row>
    <row r="48" ht="13" customHeight="1">
      <c r="A48" s="13" t="n"/>
      <c r="B48" s="13" t="n"/>
      <c r="C48" s="13" t="n"/>
      <c r="D48" s="13" t="inlineStr">
        <is>
          <t xml:space="preserve">    ├─ L-M x576  PRODUCTION</t>
        </is>
      </c>
      <c r="E48" s="13" t="inlineStr">
        <is>
          <t>Consumed</t>
        </is>
      </c>
      <c r="F48" s="16" t="n"/>
    </row>
    <row r="49" ht="13" customHeight="1">
      <c r="A49" s="13" t="n"/>
      <c r="B49" s="13" t="n"/>
      <c r="C49" s="13" t="n"/>
      <c r="D49" s="13" t="inlineStr">
        <is>
          <t xml:space="preserve">    ├─ NI-B221210 x8  PRODUCTION</t>
        </is>
      </c>
      <c r="E49" s="13" t="inlineStr">
        <is>
          <t>Consumed</t>
        </is>
      </c>
      <c r="F49" s="13" t="n"/>
    </row>
    <row r="50" ht="13" customHeight="1">
      <c r="A50" s="16" t="n"/>
      <c r="B50" s="16" t="n"/>
      <c r="C50" s="16" t="n"/>
      <c r="D50" s="13" t="inlineStr">
        <is>
          <t xml:space="preserve">    ├─ FBA-FRAGILE x16  PRODUCTION</t>
        </is>
      </c>
      <c r="E50" s="13" t="inlineStr">
        <is>
          <t>Consumed</t>
        </is>
      </c>
      <c r="F50" s="16" t="n"/>
    </row>
    <row r="51" ht="13" customHeight="1">
      <c r="A51" s="13" t="n"/>
      <c r="B51" s="13" t="n"/>
      <c r="C51" s="13" t="n"/>
      <c r="D51" s="13" t="inlineStr">
        <is>
          <t xml:space="preserve">    └─ UFC-4OZ x576  PROD-RECEIVING</t>
        </is>
      </c>
      <c r="E51" s="13" t="inlineStr">
        <is>
          <t>Produced</t>
        </is>
      </c>
      <c r="F51" s="16" t="n"/>
    </row>
    <row r="52" ht="13" customHeight="1">
      <c r="A52" s="13" t="inlineStr">
        <is>
          <t>WK-032</t>
        </is>
      </c>
      <c r="B52" s="14" t="n">
        <v>46083.5</v>
      </c>
      <c r="C52" s="13" t="inlineStr">
        <is>
          <t>F4 Manufacturing</t>
        </is>
      </c>
      <c r="D52" s="15" t="inlineStr">
        <is>
          <t>MO-7306 // MAR 02  UFC-4OZ x576  → PROD-RECEIVING</t>
        </is>
      </c>
      <c r="E52" s="13" t="inlineStr">
        <is>
          <t>Complete</t>
        </is>
      </c>
      <c r="F52" s="13" t="n"/>
    </row>
    <row r="53" ht="13" customHeight="1">
      <c r="A53" s="13" t="n"/>
      <c r="B53" s="13" t="n"/>
      <c r="C53" s="13" t="n"/>
      <c r="D53" s="13" t="inlineStr">
        <is>
          <t xml:space="preserve">    ├─ B-PURPLE-4 x576  PRODUCTION</t>
        </is>
      </c>
      <c r="E53" s="13" t="inlineStr">
        <is>
          <t>Consumed</t>
        </is>
      </c>
      <c r="F53" s="13" t="n"/>
    </row>
    <row r="54" ht="13" customHeight="1">
      <c r="A54" s="16" t="n"/>
      <c r="B54" s="16" t="n"/>
      <c r="C54" s="16" t="n"/>
      <c r="D54" s="13" t="inlineStr">
        <is>
          <t xml:space="preserve">    ├─ LUP-4 x576  PRODUCTION (3 batches)</t>
        </is>
      </c>
      <c r="E54" s="13" t="n"/>
      <c r="F54" s="16" t="n"/>
    </row>
    <row r="55" ht="13" customHeight="1">
      <c r="A55" s="13" t="n"/>
      <c r="B55" s="13" t="n"/>
      <c r="C55" s="13" t="n"/>
      <c r="D55" s="13" t="inlineStr">
        <is>
          <t xml:space="preserve">    │   ├─ x270  lot:UFC413B  exp:2029-02-28</t>
        </is>
      </c>
      <c r="E55" s="13" t="inlineStr">
        <is>
          <t>Consumed</t>
        </is>
      </c>
      <c r="F55" s="16" t="n"/>
    </row>
    <row r="56" ht="13" customHeight="1">
      <c r="A56" s="16" t="n"/>
      <c r="B56" s="13" t="n"/>
      <c r="C56" s="16" t="n"/>
      <c r="D56" s="13" t="inlineStr">
        <is>
          <t xml:space="preserve">    │   ├─ x182  lot:UFC413A  exp:2029-02-28</t>
        </is>
      </c>
      <c r="E56" s="13" t="inlineStr">
        <is>
          <t>Consumed</t>
        </is>
      </c>
      <c r="F56" s="16" t="n"/>
    </row>
    <row r="57" ht="13" customHeight="1">
      <c r="A57" s="13" t="n"/>
      <c r="B57" s="13" t="n"/>
      <c r="C57" s="13" t="n"/>
      <c r="D57" s="13" t="inlineStr">
        <is>
          <t xml:space="preserve">    │   └─ x124  lot:UFC410B  exp:2029-02-28</t>
        </is>
      </c>
      <c r="E57" s="13" t="inlineStr">
        <is>
          <t>Consumed</t>
        </is>
      </c>
      <c r="F57" s="16" t="n"/>
    </row>
    <row r="58" ht="13" customHeight="1">
      <c r="A58" s="13" t="n"/>
      <c r="B58" s="13" t="n"/>
      <c r="C58" s="13" t="n"/>
      <c r="D58" s="13" t="inlineStr">
        <is>
          <t xml:space="preserve">    ├─ L-M x576  PRODUCTION</t>
        </is>
      </c>
      <c r="E58" s="13" t="inlineStr">
        <is>
          <t>Consumed</t>
        </is>
      </c>
      <c r="F58" s="13" t="n"/>
    </row>
    <row r="59" ht="13" customHeight="1">
      <c r="A59" s="13" t="n"/>
      <c r="B59" s="13" t="n"/>
      <c r="C59" s="13" t="n"/>
      <c r="D59" s="13" t="inlineStr">
        <is>
          <t xml:space="preserve">    ├─ NI-B221210 x8  PRODUCTION</t>
        </is>
      </c>
      <c r="E59" s="13" t="inlineStr">
        <is>
          <t>Consumed</t>
        </is>
      </c>
      <c r="F59" s="16" t="n"/>
    </row>
    <row r="60" ht="13" customHeight="1">
      <c r="A60" s="16" t="n"/>
      <c r="B60" s="13" t="n"/>
      <c r="C60" s="16" t="n"/>
      <c r="D60" s="13" t="inlineStr">
        <is>
          <t xml:space="preserve">    ├─ FBA-FRAGILE x16  PRODUCTION</t>
        </is>
      </c>
      <c r="E60" s="13" t="inlineStr">
        <is>
          <t>Consumed</t>
        </is>
      </c>
      <c r="F60" s="13" t="n"/>
    </row>
    <row r="62">
      <c r="A62" s="17" t="inlineStr">
        <is>
          <t>⚠ MISSED</t>
        </is>
      </c>
      <c r="B62" s="17" t="inlineStr">
        <is>
          <t>2026-03-05 11:44</t>
        </is>
      </c>
      <c r="C62" s="17" t="inlineStr">
        <is>
          <t>F2 Adjustments</t>
        </is>
      </c>
      <c r="D62" s="17" t="inlineStr">
        <is>
          <t>Expected: WASP Adjustment  LCP-2 x1 — not found in log</t>
        </is>
      </c>
      <c r="E62" s="18" t="inlineStr">
        <is>
          <t>MISSING</t>
        </is>
      </c>
      <c r="F62" s="17" t="n"/>
    </row>
  </sheetData>
  <mergeCells count="2">
    <mergeCell ref="H1:M1"/>
    <mergeCell ref="N1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5" customWidth="1" min="1" max="1"/>
    <col width="12.63" customWidth="1" min="2" max="2"/>
    <col width="10.13" customWidth="1" min="3" max="3"/>
    <col width="15.13" customWidth="1" min="4" max="4"/>
    <col width="22.63" customWidth="1" min="6" max="6"/>
    <col width="15.13" customWidth="1" min="7" max="7"/>
    <col width="16.38" customWidth="1" min="8" max="8"/>
    <col width="15.13" customWidth="1" min="9" max="9"/>
    <col width="11.38" customWidth="1" min="10" max="10"/>
    <col width="8.880000000000001" customWidth="1" min="11" max="11"/>
    <col width="16.38" customWidth="1" min="12" max="12"/>
    <col width="10.13" customWidth="1" min="13" max="13"/>
  </cols>
  <sheetData>
    <row r="1">
      <c r="A1" s="19" t="inlineStr">
        <is>
          <t>Timestamp</t>
        </is>
      </c>
      <c r="B1" s="19" t="inlineStr">
        <is>
          <t>Source</t>
        </is>
      </c>
      <c r="C1" s="19" t="inlineStr">
        <is>
          <t>Action</t>
        </is>
      </c>
      <c r="D1" s="19" t="inlineStr">
        <is>
          <t>User</t>
        </is>
      </c>
      <c r="E1" s="19" t="inlineStr">
        <is>
          <t>SKU</t>
        </is>
      </c>
      <c r="F1" s="19" t="inlineStr">
        <is>
          <t>Item Name</t>
        </is>
      </c>
      <c r="G1" s="19" t="inlineStr">
        <is>
          <t>Site</t>
        </is>
      </c>
      <c r="H1" s="19" t="inlineStr">
        <is>
          <t>Location</t>
        </is>
      </c>
      <c r="I1" s="19" t="inlineStr">
        <is>
          <t>Lot / Batch</t>
        </is>
      </c>
      <c r="J1" s="19" t="inlineStr">
        <is>
          <t>Expiry</t>
        </is>
      </c>
      <c r="K1" s="19" t="inlineStr">
        <is>
          <t>Diff</t>
        </is>
      </c>
      <c r="L1" s="19" t="inlineStr">
        <is>
          <t>Katana SA#</t>
        </is>
      </c>
      <c r="M1" s="19" t="inlineStr">
        <is>
          <t>Status</t>
        </is>
      </c>
    </row>
    <row r="2">
      <c r="A2" s="14" t="n">
        <v>46084.57483796297</v>
      </c>
      <c r="B2" s="13" t="inlineStr">
        <is>
          <t>Sync Sheet</t>
        </is>
      </c>
      <c r="C2" s="13" t="inlineStr">
        <is>
          <t>Add</t>
        </is>
      </c>
      <c r="D2" s="13" t="n"/>
      <c r="E2" s="13" t="inlineStr">
        <is>
          <t>PL-PURPLE-1</t>
        </is>
      </c>
      <c r="F2" s="13" t="n"/>
      <c r="G2" s="13" t="inlineStr">
        <is>
          <t>MMH Kelowna</t>
        </is>
      </c>
      <c r="H2" s="13" t="inlineStr">
        <is>
          <t>RECEIVING-DOCK</t>
        </is>
      </c>
      <c r="I2" s="13" t="n"/>
      <c r="J2" s="13" t="n"/>
      <c r="K2" s="13" t="n">
        <v>3868</v>
      </c>
      <c r="L2" s="20" t="n"/>
      <c r="M2" s="13" t="inlineStr">
        <is>
          <t>OK</t>
        </is>
      </c>
    </row>
    <row r="3">
      <c r="A3" s="14" t="n">
        <v>46084.5750462963</v>
      </c>
      <c r="B3" s="13" t="inlineStr">
        <is>
          <t>Sync Sheet</t>
        </is>
      </c>
      <c r="C3" s="13" t="inlineStr">
        <is>
          <t>Remove</t>
        </is>
      </c>
      <c r="D3" s="13" t="n"/>
      <c r="E3" s="13" t="inlineStr">
        <is>
          <t>B-WAX</t>
        </is>
      </c>
      <c r="F3" s="13" t="n"/>
      <c r="G3" s="13" t="inlineStr">
        <is>
          <t>MMH Kelowna</t>
        </is>
      </c>
      <c r="H3" s="13" t="inlineStr">
        <is>
          <t>PRODUCTION</t>
        </is>
      </c>
      <c r="I3" s="13" t="inlineStr">
        <is>
          <t>BMHF111825</t>
        </is>
      </c>
      <c r="J3" s="14" t="n">
        <v>46343</v>
      </c>
      <c r="K3" s="13" t="n">
        <v>-145.2</v>
      </c>
      <c r="L3" s="20" t="n"/>
      <c r="M3" s="13" t="inlineStr">
        <is>
          <t>OK</t>
        </is>
      </c>
    </row>
    <row r="4">
      <c r="A4" s="14" t="n">
        <v>46084.58266203704</v>
      </c>
      <c r="B4" s="13" t="inlineStr">
        <is>
          <t>Sync Sheet</t>
        </is>
      </c>
      <c r="C4" s="13" t="inlineStr">
        <is>
          <t>Remove</t>
        </is>
      </c>
      <c r="D4" s="13" t="n"/>
      <c r="E4" s="13" t="inlineStr">
        <is>
          <t>CAR-2OZ</t>
        </is>
      </c>
      <c r="F4" s="13" t="n"/>
      <c r="G4" s="13" t="inlineStr">
        <is>
          <t>MMH Kelowna</t>
        </is>
      </c>
      <c r="H4" s="13" t="inlineStr">
        <is>
          <t>SHIPPING-DOCK</t>
        </is>
      </c>
      <c r="I4" s="13" t="n"/>
      <c r="J4" s="13" t="n"/>
      <c r="K4" s="13" t="n">
        <v>-586</v>
      </c>
      <c r="L4" s="20" t="n"/>
      <c r="M4" s="13" t="inlineStr">
        <is>
          <t>OK</t>
        </is>
      </c>
    </row>
    <row r="5">
      <c r="A5" s="14" t="n">
        <v>46084.59096064815</v>
      </c>
      <c r="B5" s="13" t="inlineStr">
        <is>
          <t>WASP</t>
        </is>
      </c>
      <c r="C5" s="13" t="inlineStr">
        <is>
          <t>Remove</t>
        </is>
      </c>
      <c r="D5" s="13" t="n"/>
      <c r="E5" s="13" t="inlineStr">
        <is>
          <t>4OZSEAL</t>
        </is>
      </c>
      <c r="F5" s="13" t="n"/>
      <c r="G5" s="13" t="inlineStr">
        <is>
          <t>MMH Kelowna</t>
        </is>
      </c>
      <c r="H5" s="13" t="inlineStr">
        <is>
          <t>PRODUCTION</t>
        </is>
      </c>
      <c r="I5" s="13" t="n"/>
      <c r="J5" s="13" t="n"/>
      <c r="K5" s="13" t="n">
        <v>-2</v>
      </c>
      <c r="L5" s="20" t="n"/>
      <c r="M5" s="13" t="inlineStr">
        <is>
          <t>OK</t>
        </is>
      </c>
    </row>
    <row r="6">
      <c r="A6" s="14" t="n">
        <v>46084.61359953704</v>
      </c>
      <c r="B6" s="13" t="inlineStr">
        <is>
          <t>Sync Sheet</t>
        </is>
      </c>
      <c r="C6" s="13" t="inlineStr">
        <is>
          <t>Remove</t>
        </is>
      </c>
      <c r="D6" s="13" t="n"/>
      <c r="E6" s="13" t="inlineStr">
        <is>
          <t>IPLJ-1</t>
        </is>
      </c>
      <c r="F6" s="13" t="n"/>
      <c r="G6" s="13" t="inlineStr">
        <is>
          <t>MMH Kelowna</t>
        </is>
      </c>
      <c r="H6" s="13" t="inlineStr">
        <is>
          <t>PRODUCTION</t>
        </is>
      </c>
      <c r="I6" s="13" t="n"/>
      <c r="J6" s="13" t="n"/>
      <c r="K6" s="13" t="n">
        <v>-148</v>
      </c>
      <c r="L6" s="20" t="n"/>
      <c r="M6" s="13" t="inlineStr">
        <is>
          <t>OK</t>
        </is>
      </c>
    </row>
    <row r="7">
      <c r="A7" s="14" t="n">
        <v>46084.61381944444</v>
      </c>
      <c r="B7" s="13" t="inlineStr">
        <is>
          <t>Sync Sheet</t>
        </is>
      </c>
      <c r="C7" s="13" t="inlineStr">
        <is>
          <t>Remove</t>
        </is>
      </c>
      <c r="D7" s="13" t="n"/>
      <c r="E7" s="13" t="inlineStr">
        <is>
          <t>IPLJ-1</t>
        </is>
      </c>
      <c r="F7" s="13" t="n"/>
      <c r="G7" s="13" t="inlineStr">
        <is>
          <t>MMH Kelowna</t>
        </is>
      </c>
      <c r="H7" s="13" t="inlineStr">
        <is>
          <t>PROD-RECEIVING</t>
        </is>
      </c>
      <c r="I7" s="13" t="n"/>
      <c r="J7" s="13" t="n"/>
      <c r="K7" s="13" t="n">
        <v>-184</v>
      </c>
      <c r="L7" s="13" t="n"/>
      <c r="M7" s="13" t="inlineStr">
        <is>
          <t>OK</t>
        </is>
      </c>
    </row>
    <row r="8">
      <c r="A8" s="14" t="n">
        <v>46084.61497685185</v>
      </c>
      <c r="B8" s="13" t="inlineStr">
        <is>
          <t>Google Sheet</t>
        </is>
      </c>
      <c r="C8" s="13" t="inlineStr">
        <is>
          <t>Remove</t>
        </is>
      </c>
      <c r="D8" s="13" t="n"/>
      <c r="E8" s="13" t="inlineStr">
        <is>
          <t>LABSSEAL-1</t>
        </is>
      </c>
      <c r="F8" s="13" t="n"/>
      <c r="G8" s="13" t="inlineStr">
        <is>
          <t>Storage Warehouse</t>
        </is>
      </c>
      <c r="H8" s="13" t="inlineStr">
        <is>
          <t>SW-STORAGE</t>
        </is>
      </c>
      <c r="I8" s="13" t="n"/>
      <c r="J8" s="13" t="n"/>
      <c r="K8" s="13" t="n">
        <v>-145800</v>
      </c>
      <c r="L8" s="13" t="n"/>
      <c r="M8" s="13" t="inlineStr">
        <is>
          <t>OK</t>
        </is>
      </c>
    </row>
    <row r="9">
      <c r="A9" s="14" t="n">
        <v>46084.62239583334</v>
      </c>
      <c r="B9" s="13" t="inlineStr">
        <is>
          <t>Sync Sheet</t>
        </is>
      </c>
      <c r="C9" s="13" t="inlineStr">
        <is>
          <t>Add</t>
        </is>
      </c>
      <c r="D9" s="13" t="n"/>
      <c r="E9" s="13" t="inlineStr">
        <is>
          <t>AGJAR-1</t>
        </is>
      </c>
      <c r="F9" s="13" t="n"/>
      <c r="G9" s="13" t="inlineStr">
        <is>
          <t>MMH Kelowna</t>
        </is>
      </c>
      <c r="H9" s="13" t="inlineStr">
        <is>
          <t>RECEIVING-DOCK</t>
        </is>
      </c>
      <c r="I9" s="13" t="n"/>
      <c r="J9" s="13" t="n"/>
      <c r="K9" s="13" t="n">
        <v>6731</v>
      </c>
      <c r="L9" s="13" t="n"/>
      <c r="M9" s="13" t="inlineStr">
        <is>
          <t>OK</t>
        </is>
      </c>
    </row>
    <row r="10">
      <c r="A10" s="14" t="n">
        <v>46084.62259259259</v>
      </c>
      <c r="B10" s="13" t="inlineStr">
        <is>
          <t>Sync Sheet</t>
        </is>
      </c>
      <c r="C10" s="13" t="inlineStr">
        <is>
          <t>Remove</t>
        </is>
      </c>
      <c r="D10" s="13" t="n"/>
      <c r="E10" s="13" t="inlineStr">
        <is>
          <t>EGG-X</t>
        </is>
      </c>
      <c r="F10" s="13" t="n"/>
      <c r="G10" s="13" t="inlineStr">
        <is>
          <t>MMH Kelowna</t>
        </is>
      </c>
      <c r="H10" s="13" t="inlineStr">
        <is>
          <t>RECEIVING-DOCK</t>
        </is>
      </c>
      <c r="I10" s="13" t="inlineStr">
        <is>
          <t>HI</t>
        </is>
      </c>
      <c r="J10" s="14" t="n">
        <v>47178</v>
      </c>
      <c r="K10" s="13" t="n">
        <v>-24</v>
      </c>
      <c r="L10" s="13" t="n"/>
      <c r="M10" s="13" t="inlineStr">
        <is>
          <t>OK</t>
        </is>
      </c>
    </row>
    <row r="11">
      <c r="A11" s="14" t="n">
        <v>46084.62282407407</v>
      </c>
      <c r="B11" s="13" t="inlineStr">
        <is>
          <t>Sync Sheet</t>
        </is>
      </c>
      <c r="C11" s="13" t="inlineStr">
        <is>
          <t>Remove</t>
        </is>
      </c>
      <c r="D11" s="13" t="n"/>
      <c r="E11" s="13" t="inlineStr">
        <is>
          <t>EGG-X</t>
        </is>
      </c>
      <c r="F11" s="13" t="n"/>
      <c r="G11" s="13" t="inlineStr">
        <is>
          <t>MMH Kelowna</t>
        </is>
      </c>
      <c r="H11" s="13" t="inlineStr">
        <is>
          <t>RECEIVING-DOCK</t>
        </is>
      </c>
      <c r="I11" s="13" t="inlineStr">
        <is>
          <t>TEST001</t>
        </is>
      </c>
      <c r="J11" s="14" t="n">
        <v>46080</v>
      </c>
      <c r="K11" s="13" t="n">
        <v>-24</v>
      </c>
      <c r="L11" s="13" t="n"/>
      <c r="M11" s="13" t="inlineStr">
        <is>
          <t>OK</t>
        </is>
      </c>
    </row>
    <row r="12">
      <c r="A12" s="14" t="n">
        <v>46084.62303240741</v>
      </c>
      <c r="B12" s="13" t="inlineStr">
        <is>
          <t>Sync Sheet</t>
        </is>
      </c>
      <c r="C12" s="13" t="inlineStr">
        <is>
          <t>Remove</t>
        </is>
      </c>
      <c r="D12" s="13" t="n"/>
      <c r="E12" s="13" t="inlineStr">
        <is>
          <t>FBA-FRAGILE</t>
        </is>
      </c>
      <c r="F12" s="13" t="n"/>
      <c r="G12" s="13" t="inlineStr">
        <is>
          <t>MMH Kelowna</t>
        </is>
      </c>
      <c r="H12" s="13" t="inlineStr">
        <is>
          <t>RECEIVING-DOCK</t>
        </is>
      </c>
      <c r="I12" s="13" t="n"/>
      <c r="J12" s="13" t="n"/>
      <c r="K12" s="13" t="n">
        <v>-1754.97</v>
      </c>
      <c r="L12" s="20" t="n"/>
      <c r="M12" s="13" t="inlineStr">
        <is>
          <t>OK</t>
        </is>
      </c>
    </row>
    <row r="13">
      <c r="A13" s="14" t="n">
        <v>46084.62321759259</v>
      </c>
      <c r="B13" s="13" t="inlineStr">
        <is>
          <t>Sync Sheet</t>
        </is>
      </c>
      <c r="C13" s="13" t="inlineStr">
        <is>
          <t>Remove</t>
        </is>
      </c>
      <c r="D13" s="13" t="n"/>
      <c r="E13" s="13" t="inlineStr">
        <is>
          <t>LABSSEAL-1</t>
        </is>
      </c>
      <c r="F13" s="13" t="n"/>
      <c r="G13" s="13" t="inlineStr">
        <is>
          <t>MMH Kelowna</t>
        </is>
      </c>
      <c r="H13" s="13" t="inlineStr">
        <is>
          <t>RECEIVING-DOCK</t>
        </is>
      </c>
      <c r="I13" s="13" t="n"/>
      <c r="J13" s="13" t="n"/>
      <c r="K13" s="13" t="n">
        <v>-1376</v>
      </c>
      <c r="L13" s="20" t="n"/>
      <c r="M13" s="13" t="inlineStr">
        <is>
          <t>OK</t>
        </is>
      </c>
    </row>
    <row r="14">
      <c r="A14" s="14" t="n">
        <v>46084.6234375</v>
      </c>
      <c r="B14" s="13" t="inlineStr">
        <is>
          <t>Sync Sheet</t>
        </is>
      </c>
      <c r="C14" s="13" t="inlineStr">
        <is>
          <t>Remove</t>
        </is>
      </c>
      <c r="D14" s="13" t="n"/>
      <c r="E14" s="13" t="inlineStr">
        <is>
          <t>NI-B221210</t>
        </is>
      </c>
      <c r="F14" s="13" t="n"/>
      <c r="G14" s="13" t="inlineStr">
        <is>
          <t>MMH Kelowna</t>
        </is>
      </c>
      <c r="H14" s="13" t="inlineStr">
        <is>
          <t>RECEIVING-DOCK</t>
        </is>
      </c>
      <c r="I14" s="13" t="n"/>
      <c r="J14" s="13" t="n"/>
      <c r="K14" s="13" t="n">
        <v>-26.98</v>
      </c>
      <c r="L14" s="20" t="n"/>
      <c r="M14" s="13" t="inlineStr">
        <is>
          <t>OK</t>
        </is>
      </c>
    </row>
    <row r="15">
      <c r="A15" s="14" t="n">
        <v>46084.62364583334</v>
      </c>
      <c r="B15" s="13" t="inlineStr">
        <is>
          <t>Sync Sheet</t>
        </is>
      </c>
      <c r="C15" s="13" t="inlineStr">
        <is>
          <t>Remove</t>
        </is>
      </c>
      <c r="D15" s="13" t="n"/>
      <c r="E15" s="13" t="inlineStr">
        <is>
          <t>AGJL-1</t>
        </is>
      </c>
      <c r="F15" s="13" t="n"/>
      <c r="G15" s="13" t="inlineStr">
        <is>
          <t>MMH Kelowna</t>
        </is>
      </c>
      <c r="H15" s="13" t="inlineStr">
        <is>
          <t>PRODUCTION</t>
        </is>
      </c>
      <c r="I15" s="13" t="n"/>
      <c r="J15" s="13" t="n"/>
      <c r="K15" s="13" t="n">
        <v>-5</v>
      </c>
      <c r="L15" s="20" t="n"/>
      <c r="M15" s="13" t="inlineStr">
        <is>
          <t>OK</t>
        </is>
      </c>
    </row>
    <row r="16">
      <c r="A16" s="14" t="n">
        <v>46084.62388888889</v>
      </c>
      <c r="B16" s="13" t="inlineStr">
        <is>
          <t>Sync Sheet</t>
        </is>
      </c>
      <c r="C16" s="13" t="inlineStr">
        <is>
          <t>Remove</t>
        </is>
      </c>
      <c r="D16" s="13" t="n"/>
      <c r="E16" s="13" t="inlineStr">
        <is>
          <t>AGJL-2</t>
        </is>
      </c>
      <c r="F16" s="13" t="n"/>
      <c r="G16" s="13" t="inlineStr">
        <is>
          <t>MMH Kelowna</t>
        </is>
      </c>
      <c r="H16" s="13" t="inlineStr">
        <is>
          <t>PRODUCTION</t>
        </is>
      </c>
      <c r="I16" s="13" t="n"/>
      <c r="J16" s="13" t="n"/>
      <c r="K16" s="13" t="n">
        <v>-35</v>
      </c>
      <c r="L16" s="20" t="n"/>
      <c r="M16" s="13" t="inlineStr">
        <is>
          <t>OK</t>
        </is>
      </c>
    </row>
    <row r="17">
      <c r="A17" s="14" t="n">
        <v>46084.62413194445</v>
      </c>
      <c r="B17" s="13" t="inlineStr">
        <is>
          <t>Sync Sheet</t>
        </is>
      </c>
      <c r="C17" s="13" t="inlineStr">
        <is>
          <t>Add</t>
        </is>
      </c>
      <c r="D17" s="13" t="n"/>
      <c r="E17" s="13" t="inlineStr">
        <is>
          <t>B-PINK-2</t>
        </is>
      </c>
      <c r="F17" s="13" t="n"/>
      <c r="G17" s="13" t="inlineStr">
        <is>
          <t>MMH Kelowna</t>
        </is>
      </c>
      <c r="H17" s="13" t="inlineStr">
        <is>
          <t>PRODUCTION</t>
        </is>
      </c>
      <c r="I17" s="13" t="n"/>
      <c r="J17" s="13" t="n"/>
      <c r="K17" s="13" t="n">
        <v>2</v>
      </c>
      <c r="L17" s="20" t="n"/>
      <c r="M17" s="13" t="inlineStr">
        <is>
          <t>OK</t>
        </is>
      </c>
    </row>
    <row r="18">
      <c r="A18" s="14" t="n">
        <v>46084.62431712963</v>
      </c>
      <c r="B18" s="13" t="inlineStr">
        <is>
          <t>Sync Sheet</t>
        </is>
      </c>
      <c r="C18" s="13" t="inlineStr">
        <is>
          <t>Add</t>
        </is>
      </c>
      <c r="D18" s="13" t="n"/>
      <c r="E18" s="13" t="inlineStr">
        <is>
          <t>B-PURPLE-4</t>
        </is>
      </c>
      <c r="F18" s="13" t="n"/>
      <c r="G18" s="13" t="inlineStr">
        <is>
          <t>MMH Kelowna</t>
        </is>
      </c>
      <c r="H18" s="13" t="inlineStr">
        <is>
          <t>PRODUCTION</t>
        </is>
      </c>
      <c r="I18" s="13" t="n"/>
      <c r="J18" s="13" t="n"/>
      <c r="K18" s="13" t="n">
        <v>288</v>
      </c>
      <c r="L18" s="20" t="n"/>
      <c r="M18" s="13" t="inlineStr">
        <is>
          <t>OK</t>
        </is>
      </c>
    </row>
    <row r="19">
      <c r="A19" s="14" t="n">
        <v>46084.62459490741</v>
      </c>
      <c r="B19" s="13" t="inlineStr">
        <is>
          <t>Sync Sheet</t>
        </is>
      </c>
      <c r="C19" s="13" t="inlineStr">
        <is>
          <t>Remove</t>
        </is>
      </c>
      <c r="D19" s="13" t="n"/>
      <c r="E19" s="13" t="inlineStr">
        <is>
          <t>B-YELLOW-4</t>
        </is>
      </c>
      <c r="F19" s="13" t="n"/>
      <c r="G19" s="13" t="inlineStr">
        <is>
          <t>MMH Kelowna</t>
        </is>
      </c>
      <c r="H19" s="13" t="inlineStr">
        <is>
          <t>PRODUCTION</t>
        </is>
      </c>
      <c r="I19" s="13" t="n"/>
      <c r="J19" s="13" t="n"/>
      <c r="K19" s="13" t="n">
        <v>-2</v>
      </c>
      <c r="L19" s="20" t="n"/>
      <c r="M19" s="13" t="inlineStr">
        <is>
          <t>OK</t>
        </is>
      </c>
    </row>
    <row r="20">
      <c r="A20" s="14" t="n">
        <v>46084.62481481482</v>
      </c>
      <c r="B20" s="13" t="inlineStr">
        <is>
          <t>Sync Sheet</t>
        </is>
      </c>
      <c r="C20" s="13" t="inlineStr">
        <is>
          <t>Remove</t>
        </is>
      </c>
      <c r="D20" s="13" t="n"/>
      <c r="E20" s="13" t="inlineStr">
        <is>
          <t>EGG-X</t>
        </is>
      </c>
      <c r="F20" s="13" t="n"/>
      <c r="G20" s="13" t="inlineStr">
        <is>
          <t>MMH Kelowna</t>
        </is>
      </c>
      <c r="H20" s="13" t="inlineStr">
        <is>
          <t>PRODUCTION</t>
        </is>
      </c>
      <c r="I20" s="13" t="inlineStr">
        <is>
          <t>HID260130</t>
        </is>
      </c>
      <c r="J20" s="14" t="n">
        <v>46142</v>
      </c>
      <c r="K20" s="13" t="n">
        <v>-9</v>
      </c>
      <c r="L20" s="20" t="n"/>
      <c r="M20" s="13" t="inlineStr">
        <is>
          <t>OK</t>
        </is>
      </c>
    </row>
    <row r="21">
      <c r="A21" s="14" t="n">
        <v>46084.6250462963</v>
      </c>
      <c r="B21" s="13" t="inlineStr">
        <is>
          <t>Sync Sheet</t>
        </is>
      </c>
      <c r="C21" s="13" t="inlineStr">
        <is>
          <t>Remove</t>
        </is>
      </c>
      <c r="D21" s="13" t="n"/>
      <c r="E21" s="13" t="inlineStr">
        <is>
          <t>EO-LAV</t>
        </is>
      </c>
      <c r="F21" s="13" t="n"/>
      <c r="G21" s="13" t="inlineStr">
        <is>
          <t>MMH Kelowna</t>
        </is>
      </c>
      <c r="H21" s="13" t="inlineStr">
        <is>
          <t>PRODUCTION</t>
        </is>
      </c>
      <c r="I21" s="13" t="n">
        <v>5005828385</v>
      </c>
      <c r="J21" s="14" t="n">
        <v>47300</v>
      </c>
      <c r="K21" s="13" t="n">
        <v>-5400</v>
      </c>
      <c r="L21" s="20" t="n"/>
      <c r="M21" s="13" t="inlineStr">
        <is>
          <t>OK</t>
        </is>
      </c>
    </row>
    <row r="22">
      <c r="A22" s="14" t="n">
        <v>46084.6253125</v>
      </c>
      <c r="B22" s="13" t="inlineStr">
        <is>
          <t>Sync Sheet</t>
        </is>
      </c>
      <c r="C22" s="13" t="inlineStr">
        <is>
          <t>Remove</t>
        </is>
      </c>
      <c r="D22" s="13" t="n"/>
      <c r="E22" s="13" t="inlineStr">
        <is>
          <t>EO-LAV</t>
        </is>
      </c>
      <c r="F22" s="13" t="n"/>
      <c r="G22" s="13" t="inlineStr">
        <is>
          <t>MMH Kelowna</t>
        </is>
      </c>
      <c r="H22" s="13" t="inlineStr">
        <is>
          <t>PRODUCTION</t>
        </is>
      </c>
      <c r="I22" s="13" t="n">
        <v>5006104655</v>
      </c>
      <c r="J22" s="14" t="n">
        <v>47311</v>
      </c>
      <c r="K22" s="13" t="n">
        <v>-1</v>
      </c>
      <c r="L22" s="20" t="n"/>
      <c r="M22" s="13" t="inlineStr">
        <is>
          <t>OK</t>
        </is>
      </c>
    </row>
    <row r="23">
      <c r="A23" s="14" t="n">
        <v>46084.62548611111</v>
      </c>
      <c r="B23" s="13" t="inlineStr">
        <is>
          <t>Sync Sheet</t>
        </is>
      </c>
      <c r="C23" s="13" t="inlineStr">
        <is>
          <t>Add</t>
        </is>
      </c>
      <c r="D23" s="13" t="n"/>
      <c r="E23" s="13" t="inlineStr">
        <is>
          <t>G-OIL</t>
        </is>
      </c>
      <c r="F23" s="13" t="n"/>
      <c r="G23" s="13" t="inlineStr">
        <is>
          <t>MMH Kelowna</t>
        </is>
      </c>
      <c r="H23" s="13" t="inlineStr">
        <is>
          <t>PRODUCTION</t>
        </is>
      </c>
      <c r="I23" s="13" t="inlineStr">
        <is>
          <t>06603/25</t>
        </is>
      </c>
      <c r="J23" s="14" t="n">
        <v>46934</v>
      </c>
      <c r="K23" s="13" t="n">
        <v>30.75</v>
      </c>
      <c r="L23" s="20" t="n"/>
      <c r="M23" s="13" t="inlineStr">
        <is>
          <t>OK</t>
        </is>
      </c>
    </row>
    <row r="24">
      <c r="A24" s="14" t="n">
        <v>46084.62570601852</v>
      </c>
      <c r="B24" s="13" t="inlineStr">
        <is>
          <t>Sync Sheet</t>
        </is>
      </c>
      <c r="C24" s="13" t="inlineStr">
        <is>
          <t>Remove</t>
        </is>
      </c>
      <c r="D24" s="13" t="n"/>
      <c r="E24" s="13" t="inlineStr">
        <is>
          <t>H-COML</t>
        </is>
      </c>
      <c r="F24" s="13" t="n"/>
      <c r="G24" s="13" t="inlineStr">
        <is>
          <t>MMH Kelowna</t>
        </is>
      </c>
      <c r="H24" s="13" t="inlineStr">
        <is>
          <t>PRODUCTION</t>
        </is>
      </c>
      <c r="I24" s="13" t="inlineStr">
        <is>
          <t>M-0019738</t>
        </is>
      </c>
      <c r="J24" s="14" t="n">
        <v>46972</v>
      </c>
      <c r="K24" s="13" t="n">
        <v>-1</v>
      </c>
      <c r="L24" s="13" t="n"/>
      <c r="M24" s="13" t="inlineStr">
        <is>
          <t>OK</t>
        </is>
      </c>
    </row>
    <row r="25">
      <c r="A25" s="14" t="n">
        <v>46084.62592592592</v>
      </c>
      <c r="B25" s="13" t="inlineStr">
        <is>
          <t>Sync Sheet</t>
        </is>
      </c>
      <c r="C25" s="13" t="inlineStr">
        <is>
          <t>Remove</t>
        </is>
      </c>
      <c r="D25" s="13" t="n"/>
      <c r="E25" s="13" t="inlineStr">
        <is>
          <t>INSDUO</t>
        </is>
      </c>
      <c r="F25" s="13" t="n"/>
      <c r="G25" s="13" t="inlineStr">
        <is>
          <t>MMH Kelowna</t>
        </is>
      </c>
      <c r="H25" s="13" t="inlineStr">
        <is>
          <t>PRODUCTION</t>
        </is>
      </c>
      <c r="I25" s="13" t="n"/>
      <c r="J25" s="13" t="n"/>
      <c r="K25" s="13" t="n">
        <v>-67</v>
      </c>
      <c r="L25" s="20" t="n"/>
      <c r="M25" s="13" t="inlineStr">
        <is>
          <t>OK</t>
        </is>
      </c>
    </row>
    <row r="26">
      <c r="A26" s="14" t="n">
        <v>46084.62655092592</v>
      </c>
      <c r="B26" s="13" t="inlineStr">
        <is>
          <t>Sync Sheet</t>
        </is>
      </c>
      <c r="C26" s="13" t="inlineStr">
        <is>
          <t>Remove</t>
        </is>
      </c>
      <c r="D26" s="13" t="n"/>
      <c r="E26" s="13" t="inlineStr">
        <is>
          <t>IPLJ-4</t>
        </is>
      </c>
      <c r="F26" s="13" t="n"/>
      <c r="G26" s="13" t="inlineStr">
        <is>
          <t>MMH Kelowna</t>
        </is>
      </c>
      <c r="H26" s="13" t="inlineStr">
        <is>
          <t>PRODUCTION</t>
        </is>
      </c>
      <c r="I26" s="13" t="n"/>
      <c r="J26" s="13" t="n"/>
      <c r="K26" s="13" t="n">
        <v>-9</v>
      </c>
      <c r="L26" s="13" t="n"/>
      <c r="M26" s="13" t="inlineStr">
        <is>
          <t>OK</t>
        </is>
      </c>
    </row>
    <row r="27">
      <c r="A27" s="14" t="n">
        <v>46084.62680555556</v>
      </c>
      <c r="B27" s="13" t="inlineStr">
        <is>
          <t>Sync Sheet</t>
        </is>
      </c>
      <c r="C27" s="13" t="inlineStr">
        <is>
          <t>Add</t>
        </is>
      </c>
      <c r="D27" s="13" t="n"/>
      <c r="E27" s="13" t="inlineStr">
        <is>
          <t>L-I</t>
        </is>
      </c>
      <c r="F27" s="13" t="n"/>
      <c r="G27" s="13" t="inlineStr">
        <is>
          <t>MMH Kelowna</t>
        </is>
      </c>
      <c r="H27" s="13" t="inlineStr">
        <is>
          <t>PRODUCTION</t>
        </is>
      </c>
      <c r="I27" s="13" t="n"/>
      <c r="J27" s="13" t="n"/>
      <c r="K27" s="13" t="n">
        <v>4218</v>
      </c>
      <c r="L27" s="13" t="n"/>
      <c r="M27" s="13" t="inlineStr">
        <is>
          <t>OK</t>
        </is>
      </c>
    </row>
    <row r="28">
      <c r="A28" s="14" t="n">
        <v>46084.62704861111</v>
      </c>
      <c r="B28" s="13" t="inlineStr">
        <is>
          <t>Sync Sheet</t>
        </is>
      </c>
      <c r="C28" s="13" t="inlineStr">
        <is>
          <t>Add</t>
        </is>
      </c>
      <c r="D28" s="13" t="n"/>
      <c r="E28" s="13" t="inlineStr">
        <is>
          <t>L-M</t>
        </is>
      </c>
      <c r="F28" s="13" t="n"/>
      <c r="G28" s="13" t="inlineStr">
        <is>
          <t>MMH Kelowna</t>
        </is>
      </c>
      <c r="H28" s="13" t="inlineStr">
        <is>
          <t>PRODUCTION</t>
        </is>
      </c>
      <c r="I28" s="13" t="n"/>
      <c r="J28" s="13" t="n"/>
      <c r="K28" s="13" t="n">
        <v>8432</v>
      </c>
      <c r="L28" s="13" t="n"/>
      <c r="M28" s="13" t="inlineStr">
        <is>
          <t>OK</t>
        </is>
      </c>
    </row>
    <row r="29">
      <c r="A29" s="14" t="n">
        <v>46084.62726851852</v>
      </c>
      <c r="B29" s="13" t="inlineStr">
        <is>
          <t>Sync Sheet</t>
        </is>
      </c>
      <c r="C29" s="13" t="inlineStr">
        <is>
          <t>Remove</t>
        </is>
      </c>
      <c r="D29" s="13" t="n"/>
      <c r="E29" s="13" t="inlineStr">
        <is>
          <t>L-P</t>
        </is>
      </c>
      <c r="F29" s="13" t="n"/>
      <c r="G29" s="13" t="inlineStr">
        <is>
          <t>MMH Kelowna</t>
        </is>
      </c>
      <c r="H29" s="13" t="inlineStr">
        <is>
          <t>PRODUCTION</t>
        </is>
      </c>
      <c r="I29" s="13" t="n"/>
      <c r="J29" s="13" t="n"/>
      <c r="K29" s="13" t="n">
        <v>-159</v>
      </c>
      <c r="L29" s="13" t="n"/>
      <c r="M29" s="13" t="inlineStr">
        <is>
          <t>OK</t>
        </is>
      </c>
    </row>
    <row r="30">
      <c r="A30" s="14" t="n">
        <v>46084.6274537037</v>
      </c>
      <c r="B30" s="13" t="inlineStr">
        <is>
          <t>Sync Sheet</t>
        </is>
      </c>
      <c r="C30" s="13" t="inlineStr">
        <is>
          <t>Add</t>
        </is>
      </c>
      <c r="D30" s="13" t="n"/>
      <c r="E30" s="13" t="inlineStr">
        <is>
          <t>L-Q</t>
        </is>
      </c>
      <c r="F30" s="13" t="n"/>
      <c r="G30" s="13" t="inlineStr">
        <is>
          <t>MMH Kelowna</t>
        </is>
      </c>
      <c r="H30" s="13" t="inlineStr">
        <is>
          <t>PRODUCTION</t>
        </is>
      </c>
      <c r="I30" s="13" t="n"/>
      <c r="J30" s="13" t="n"/>
      <c r="K30" s="13" t="n">
        <v>211</v>
      </c>
      <c r="L30" s="13" t="n"/>
      <c r="M30" s="13" t="inlineStr">
        <is>
          <t>OK</t>
        </is>
      </c>
    </row>
    <row r="31">
      <c r="A31" s="14" t="n">
        <v>46084.62765046296</v>
      </c>
      <c r="B31" s="13" t="inlineStr">
        <is>
          <t>Sync Sheet</t>
        </is>
      </c>
      <c r="C31" s="13" t="inlineStr">
        <is>
          <t>Remove</t>
        </is>
      </c>
      <c r="D31" s="13" t="n"/>
      <c r="E31" s="13" t="inlineStr">
        <is>
          <t>L-T</t>
        </is>
      </c>
      <c r="F31" s="13" t="n"/>
      <c r="G31" s="13" t="inlineStr">
        <is>
          <t>MMH Kelowna</t>
        </is>
      </c>
      <c r="H31" s="13" t="inlineStr">
        <is>
          <t>PRODUCTION</t>
        </is>
      </c>
      <c r="I31" s="13" t="n"/>
      <c r="J31" s="13" t="n"/>
      <c r="K31" s="13" t="n">
        <v>-1830</v>
      </c>
      <c r="L31" s="13" t="n"/>
      <c r="M31" s="13" t="inlineStr">
        <is>
          <t>OK</t>
        </is>
      </c>
    </row>
    <row r="32">
      <c r="A32" s="14" t="n">
        <v>46084.62787037037</v>
      </c>
      <c r="B32" s="13" t="inlineStr">
        <is>
          <t>Sync Sheet</t>
        </is>
      </c>
      <c r="C32" s="13" t="inlineStr">
        <is>
          <t>Add</t>
        </is>
      </c>
      <c r="D32" s="13" t="n"/>
      <c r="E32" s="13" t="inlineStr">
        <is>
          <t>L-U</t>
        </is>
      </c>
      <c r="F32" s="13" t="n"/>
      <c r="G32" s="13" t="inlineStr">
        <is>
          <t>MMH Kelowna</t>
        </is>
      </c>
      <c r="H32" s="13" t="inlineStr">
        <is>
          <t>PRODUCTION</t>
        </is>
      </c>
      <c r="I32" s="13" t="n"/>
      <c r="J32" s="13" t="n"/>
      <c r="K32" s="13" t="n">
        <v>4902</v>
      </c>
      <c r="L32" s="13" t="n"/>
      <c r="M32" s="13" t="inlineStr">
        <is>
          <t>OK</t>
        </is>
      </c>
    </row>
    <row r="33">
      <c r="A33" s="14" t="n">
        <v>46084.6280787037</v>
      </c>
      <c r="B33" s="13" t="inlineStr">
        <is>
          <t>Sync Sheet</t>
        </is>
      </c>
      <c r="C33" s="13" t="inlineStr">
        <is>
          <t>Add</t>
        </is>
      </c>
      <c r="D33" s="13" t="n"/>
      <c r="E33" s="13" t="inlineStr">
        <is>
          <t>LABSSEAL-1</t>
        </is>
      </c>
      <c r="F33" s="13" t="n"/>
      <c r="G33" s="13" t="inlineStr">
        <is>
          <t>MMH Kelowna</t>
        </is>
      </c>
      <c r="H33" s="13" t="inlineStr">
        <is>
          <t>PRODUCTION</t>
        </is>
      </c>
      <c r="I33" s="13" t="n"/>
      <c r="J33" s="13" t="n"/>
      <c r="K33" s="13" t="n">
        <v>8344</v>
      </c>
      <c r="L33" s="13" t="n"/>
      <c r="M33" s="1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880000000000001" customWidth="1" min="1" max="1"/>
    <col width="6.38" customWidth="1" min="2" max="2"/>
    <col width="32" customWidth="1" min="3" max="3"/>
    <col width="65.13" customWidth="1" min="4" max="4"/>
    <col width="10.13" customWidth="1" min="5" max="5"/>
    <col width="37.63" customWidth="1" min="6" max="6"/>
  </cols>
  <sheetData>
    <row r="1">
      <c r="A1" s="1" t="inlineStr">
        <is>
          <t>F1 RECEIVING</t>
        </is>
      </c>
      <c r="B1" s="1" t="n"/>
      <c r="C1" s="1" t="n"/>
      <c r="D1" s="1" t="n"/>
      <c r="E1" s="21">
        <f>"Events: " &amp; COUNTA(A4:A952) &amp; "  |  OK: " &amp; COUNTIFS(A4:A952,"&lt;&gt;",E4:E952,"&lt;&gt;Failed",E4:E952,"&lt;&gt;Error",E4:E952,"&lt;&gt;Partial") &amp; "  |  Errors: " &amp; COUNTIFS(A4:A952,"&lt;&gt;",E4:E952,"Failed") &amp; IF(COUNTIFS(A4:A952,"&lt;&gt;",E4:E952,"Partial")&gt;0,"  |  Partial: " &amp; COUNTIFS(A4:A952,"&lt;&gt;",E4:E952,"Partial"),"")</f>
        <v/>
      </c>
      <c r="F1" s="1" t="n"/>
    </row>
    <row r="2">
      <c r="A2" s="2" t="inlineStr">
        <is>
          <t>Katana PO to WASP Inventory</t>
        </is>
      </c>
      <c r="B2" s="2" t="n"/>
      <c r="C2" s="2" t="n"/>
      <c r="D2" s="2" t="n"/>
      <c r="E2" s="2" t="n"/>
      <c r="F2" s="2" t="n"/>
    </row>
    <row r="3">
      <c r="A3" s="11" t="inlineStr">
        <is>
          <t>Exec ID</t>
        </is>
      </c>
      <c r="B3" s="11" t="inlineStr">
        <is>
          <t>Time</t>
        </is>
      </c>
      <c r="C3" s="11" t="inlineStr">
        <is>
          <t>Ref#</t>
        </is>
      </c>
      <c r="D3" s="11" t="inlineStr">
        <is>
          <t>Details</t>
        </is>
      </c>
      <c r="E3" s="11" t="inlineStr">
        <is>
          <t>Status</t>
        </is>
      </c>
      <c r="F3" s="11" t="inlineStr">
        <is>
          <t>Error</t>
        </is>
      </c>
    </row>
    <row r="4">
      <c r="A4" s="13" t="inlineStr">
        <is>
          <t>WK-046</t>
        </is>
      </c>
      <c r="B4" s="14" t="n">
        <v>46083.58611111111</v>
      </c>
      <c r="C4" s="22" t="inlineStr">
        <is>
          <t>PO-569</t>
        </is>
      </c>
      <c r="D4" s="13" t="inlineStr">
        <is>
          <t>1 item → RECEIVING-DOCK @ MMH Kelowna</t>
        </is>
      </c>
      <c r="E4" s="13" t="inlineStr">
        <is>
          <t>Complete</t>
        </is>
      </c>
      <c r="F4" s="13" t="n"/>
    </row>
    <row r="5">
      <c r="A5" s="16" t="n"/>
      <c r="B5" s="16" t="n"/>
      <c r="C5" s="16" t="n"/>
      <c r="D5" s="13" t="inlineStr">
        <is>
          <t>└─ L-M x10  → RECEIVING-DOCK</t>
        </is>
      </c>
      <c r="E5" s="13" t="inlineStr">
        <is>
          <t>Added</t>
        </is>
      </c>
      <c r="F5" s="16" t="n"/>
    </row>
    <row r="6">
      <c r="A6" s="13" t="inlineStr">
        <is>
          <t>WK-048</t>
        </is>
      </c>
      <c r="B6" s="14" t="n">
        <v>46083.58680555555</v>
      </c>
      <c r="C6" s="22" t="inlineStr">
        <is>
          <t>PO-569</t>
        </is>
      </c>
      <c r="D6" s="13" t="inlineStr">
        <is>
          <t>1 item → RECEIVING-DOCK @ MMH Kelowna</t>
        </is>
      </c>
      <c r="E6" s="13" t="inlineStr">
        <is>
          <t>Complete</t>
        </is>
      </c>
      <c r="F6" s="13" t="n"/>
    </row>
    <row r="7">
      <c r="A7" s="16" t="n"/>
      <c r="B7" s="16" t="n"/>
      <c r="C7" s="16" t="n"/>
      <c r="D7" s="13" t="inlineStr">
        <is>
          <t>└─ L-M x10  → RECEIVING-DOCK</t>
        </is>
      </c>
      <c r="E7" s="13" t="inlineStr">
        <is>
          <t>Added</t>
        </is>
      </c>
      <c r="F7" s="13" t="n"/>
    </row>
    <row r="8">
      <c r="A8" s="13" t="inlineStr">
        <is>
          <t>WK-050</t>
        </is>
      </c>
      <c r="B8" s="14" t="n">
        <v>46083.5875</v>
      </c>
      <c r="C8" s="22" t="inlineStr">
        <is>
          <t>PO-569</t>
        </is>
      </c>
      <c r="D8" s="13" t="inlineStr">
        <is>
          <t>1 item → SW-STORAGE @ Storage Warehouse</t>
        </is>
      </c>
      <c r="E8" s="13" t="inlineStr">
        <is>
          <t>Complete</t>
        </is>
      </c>
      <c r="F8" s="13" t="n"/>
    </row>
    <row r="9">
      <c r="A9" s="16" t="n"/>
      <c r="B9" s="16" t="n"/>
      <c r="C9" s="16" t="n"/>
      <c r="D9" s="13" t="inlineStr">
        <is>
          <t>└─ L-M x10  → SW-STORAGE</t>
        </is>
      </c>
      <c r="E9" s="13" t="inlineStr">
        <is>
          <t>Added</t>
        </is>
      </c>
      <c r="F9" s="16" t="n"/>
    </row>
    <row r="10">
      <c r="A10" s="13" t="n"/>
      <c r="B10" s="13" t="n"/>
      <c r="C10" s="13" t="n"/>
      <c r="D10" s="13" t="n"/>
      <c r="E10" s="13" t="n"/>
      <c r="F10" s="16" t="n"/>
    </row>
    <row r="11">
      <c r="A11" s="16" t="n"/>
      <c r="B11" s="16" t="n"/>
      <c r="C11" s="16" t="n"/>
      <c r="D11" s="13" t="n"/>
      <c r="E11" s="13" t="n"/>
      <c r="F11" s="13" t="n"/>
    </row>
    <row r="12">
      <c r="A12" s="16" t="n"/>
      <c r="B12" s="16" t="n"/>
      <c r="C12" s="16" t="n"/>
      <c r="D12" s="13" t="n"/>
      <c r="E12" s="13" t="n"/>
      <c r="F12" s="16" t="n"/>
    </row>
    <row r="13">
      <c r="A13" s="16" t="n"/>
      <c r="B13" s="16" t="n"/>
      <c r="C13" s="16" t="n"/>
      <c r="D13" s="13" t="n"/>
      <c r="E13" s="13" t="n"/>
      <c r="F13" s="16" t="n"/>
    </row>
    <row r="14">
      <c r="A14" s="16" t="n"/>
      <c r="B14" s="16" t="n"/>
      <c r="C14" s="16" t="n"/>
      <c r="D14" s="13" t="n"/>
      <c r="E14" s="13" t="n"/>
      <c r="F14" s="16" t="n"/>
    </row>
    <row r="15">
      <c r="A15" s="13" t="n"/>
      <c r="B15" s="13" t="n"/>
      <c r="C15" s="13" t="n"/>
      <c r="D15" s="13" t="n"/>
      <c r="E15" s="13" t="n"/>
      <c r="F15" s="16" t="n"/>
    </row>
    <row r="16">
      <c r="A16" s="13" t="n"/>
      <c r="B16" s="13" t="n"/>
      <c r="C16" s="13" t="n"/>
      <c r="D16" s="13" t="n"/>
      <c r="E16" s="13" t="n"/>
      <c r="F16" s="16" t="n"/>
    </row>
    <row r="17">
      <c r="A17" s="16" t="n"/>
      <c r="B17" s="16" t="n"/>
      <c r="C17" s="16" t="n"/>
      <c r="D17" s="13" t="n"/>
      <c r="E17" s="13" t="n"/>
      <c r="F17" s="16" t="n"/>
    </row>
    <row r="18">
      <c r="A18" s="13" t="n"/>
      <c r="B18" s="13" t="n"/>
      <c r="C18" s="13" t="n"/>
      <c r="D18" s="13" t="n"/>
      <c r="E18" s="13" t="n"/>
      <c r="F18" s="16" t="n"/>
    </row>
    <row r="19">
      <c r="A19" s="16" t="n"/>
      <c r="B19" s="16" t="n"/>
      <c r="C19" s="16" t="n"/>
      <c r="D19" s="13" t="n"/>
      <c r="E19" s="13" t="n"/>
      <c r="F19" s="16" t="n"/>
    </row>
    <row r="20">
      <c r="A20" s="13" t="n"/>
      <c r="B20" s="13" t="n"/>
      <c r="C20" s="13" t="n"/>
      <c r="D20" s="13" t="n"/>
      <c r="E20" s="13" t="n"/>
      <c r="F20" s="16" t="n"/>
    </row>
    <row r="21">
      <c r="A21" s="16" t="n"/>
      <c r="B21" s="16" t="n"/>
      <c r="C21" s="16" t="n"/>
      <c r="D21" s="13" t="n"/>
      <c r="E21" s="13" t="n"/>
      <c r="F21" s="16" t="n"/>
    </row>
    <row r="22">
      <c r="A22" s="13" t="n"/>
      <c r="B22" s="13" t="n"/>
      <c r="C22" s="13" t="n"/>
      <c r="D22" s="13" t="n"/>
      <c r="E22" s="13" t="n"/>
      <c r="F22" s="16" t="n"/>
    </row>
    <row r="23">
      <c r="A23" s="16" t="n"/>
      <c r="B23" s="16" t="n"/>
      <c r="C23" s="16" t="n"/>
      <c r="D23" s="13" t="n"/>
      <c r="E23" s="13" t="n"/>
      <c r="F23" s="16" t="n"/>
    </row>
    <row r="24">
      <c r="A24" s="13" t="n"/>
      <c r="B24" s="13" t="n"/>
      <c r="C24" s="13" t="n"/>
      <c r="D24" s="13" t="n"/>
      <c r="E24" s="13" t="n"/>
      <c r="F24" s="16" t="n"/>
    </row>
    <row r="25">
      <c r="A25" s="16" t="n"/>
      <c r="B25" s="16" t="n"/>
      <c r="C25" s="16" t="n"/>
      <c r="D25" s="13" t="n"/>
      <c r="E25" s="13" t="n"/>
      <c r="F25" s="16" t="n"/>
    </row>
    <row r="26">
      <c r="A26" s="13" t="n"/>
      <c r="B26" s="13" t="n"/>
      <c r="C26" s="13" t="n"/>
      <c r="D26" s="13" t="n"/>
      <c r="E26" s="13" t="n"/>
      <c r="F26" s="16" t="n"/>
    </row>
    <row r="27">
      <c r="A27" s="16" t="n"/>
      <c r="B27" s="16" t="n"/>
      <c r="C27" s="16" t="n"/>
      <c r="D27" s="13" t="n"/>
      <c r="E27" s="13" t="n"/>
      <c r="F27" s="16" t="n"/>
    </row>
    <row r="28">
      <c r="A28" s="16" t="n"/>
      <c r="B28" s="16" t="n"/>
      <c r="C28" s="16" t="n"/>
      <c r="D28" s="13" t="n"/>
      <c r="E28" s="13" t="n"/>
      <c r="F28" s="16" t="n"/>
    </row>
    <row r="29">
      <c r="A29" s="13" t="n"/>
      <c r="B29" s="13" t="n"/>
      <c r="C29" s="13" t="n"/>
      <c r="D29" s="13" t="n"/>
      <c r="E29" s="13" t="n"/>
      <c r="F29" s="16" t="n"/>
    </row>
    <row r="30">
      <c r="A30" s="16" t="n"/>
      <c r="B30" s="16" t="n"/>
      <c r="C30" s="16" t="n"/>
      <c r="D30" s="13" t="n"/>
      <c r="E30" s="13" t="n"/>
      <c r="F30" s="16" t="n"/>
    </row>
    <row r="31">
      <c r="A31" s="13" t="n"/>
      <c r="B31" s="13" t="n"/>
      <c r="C31" s="13" t="n"/>
      <c r="D31" s="13" t="n"/>
      <c r="E31" s="13" t="n"/>
      <c r="F31" s="16" t="n"/>
    </row>
    <row r="32">
      <c r="A32" s="16" t="n"/>
      <c r="B32" s="16" t="n"/>
      <c r="C32" s="16" t="n"/>
      <c r="D32" s="13" t="n"/>
      <c r="E32" s="13" t="n"/>
      <c r="F32" s="16" t="n"/>
    </row>
    <row r="33">
      <c r="A33" s="16" t="n"/>
      <c r="B33" s="16" t="n"/>
      <c r="C33" s="16" t="n"/>
      <c r="D33" s="13" t="n"/>
      <c r="E33" s="13" t="n"/>
      <c r="F33" s="1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880000000000001" customWidth="1" min="1" max="1"/>
    <col width="6.38" customWidth="1" min="2" max="2"/>
    <col width="20.88" customWidth="1" min="3" max="3"/>
    <col width="67.75" customWidth="1" min="4" max="4"/>
    <col width="10.13" customWidth="1" min="5" max="5"/>
    <col width="37.63" customWidth="1" min="6" max="6"/>
  </cols>
  <sheetData>
    <row r="1">
      <c r="A1" s="1" t="inlineStr">
        <is>
          <t>F3 TRANSFERS</t>
        </is>
      </c>
      <c r="B1" s="1" t="n"/>
      <c r="C1" s="1" t="n"/>
      <c r="D1" s="1" t="n"/>
      <c r="E1" s="21">
        <f>"Events: " &amp; COUNTA(A4:A542) &amp; "  |  OK: " &amp; COUNTIFS(A4:A542,"&lt;&gt;",E4:E542,"&lt;&gt;Failed",E4:E542,"&lt;&gt;Error",E4:E542,"&lt;&gt;Partial") &amp; "  |  Errors: " &amp; COUNTIFS(A4:A542,"&lt;&gt;",E4:E542,"Failed") &amp; IF(COUNTIFS(A4:A542,"&lt;&gt;",E4:E542,"Partial")&gt;0,"  |  Partial: " &amp; COUNTIFS(A4:A542,"&lt;&gt;",E4:E542,"Partial"),"")</f>
        <v/>
      </c>
      <c r="F1" s="1" t="n"/>
    </row>
    <row r="2">
      <c r="A2" s="2" t="inlineStr">
        <is>
          <t>Katana ST Auto-Poll to WASP</t>
        </is>
      </c>
      <c r="B2" s="2" t="n"/>
      <c r="C2" s="2" t="n"/>
      <c r="D2" s="2" t="n"/>
      <c r="E2" s="2" t="n"/>
      <c r="F2" s="2" t="n"/>
    </row>
    <row r="3">
      <c r="A3" s="11" t="inlineStr">
        <is>
          <t>Exec ID</t>
        </is>
      </c>
      <c r="B3" s="11" t="inlineStr">
        <is>
          <t>Time</t>
        </is>
      </c>
      <c r="C3" s="11" t="inlineStr">
        <is>
          <t>Ref#</t>
        </is>
      </c>
      <c r="D3" s="11" t="inlineStr">
        <is>
          <t>Details</t>
        </is>
      </c>
      <c r="E3" s="11" t="inlineStr">
        <is>
          <t>Status</t>
        </is>
      </c>
      <c r="F3" s="11" t="inlineStr">
        <is>
          <t>Error</t>
        </is>
      </c>
    </row>
    <row r="4">
      <c r="A4" s="13" t="inlineStr">
        <is>
          <t>WK-025</t>
        </is>
      </c>
      <c r="B4" s="14" t="n">
        <v>46083.30347222222</v>
      </c>
      <c r="C4" s="22" t="inlineStr">
        <is>
          <t>ST-246</t>
        </is>
      </c>
      <c r="D4" s="13" t="inlineStr">
        <is>
          <t>1 items  SW-STORAGE → RECEIVING-DOCK</t>
        </is>
      </c>
      <c r="E4" s="13" t="inlineStr">
        <is>
          <t>Synced</t>
        </is>
      </c>
      <c r="F4" s="13" t="n"/>
    </row>
    <row r="5">
      <c r="A5" s="16" t="n"/>
      <c r="B5" s="16" t="n"/>
      <c r="C5" s="16" t="n"/>
      <c r="D5" s="13" t="inlineStr">
        <is>
          <t>└─ CAR-2OZ x1  SW-STORAGE → RECEIVING-DOCK</t>
        </is>
      </c>
      <c r="E5" s="13" t="inlineStr">
        <is>
          <t>Synced</t>
        </is>
      </c>
      <c r="F5" s="13" t="n"/>
    </row>
    <row r="6">
      <c r="A6" s="13" t="inlineStr">
        <is>
          <t>WK-034</t>
        </is>
      </c>
      <c r="B6" s="14" t="n">
        <v>46083.54305555556</v>
      </c>
      <c r="C6" s="22" t="inlineStr">
        <is>
          <t>ST-240</t>
        </is>
      </c>
      <c r="D6" s="13" t="inlineStr">
        <is>
          <t>2 items  SW-STORAGE → RECEIVING-DOCK</t>
        </is>
      </c>
      <c r="E6" s="13" t="inlineStr">
        <is>
          <t>Synced</t>
        </is>
      </c>
      <c r="F6" s="13" t="n"/>
    </row>
    <row r="7">
      <c r="A7" s="13" t="n"/>
      <c r="B7" s="13" t="n"/>
      <c r="C7" s="13" t="n"/>
      <c r="D7" s="13" t="inlineStr">
        <is>
          <t>├─ AGJAR-1 x9216  SW-STORAGE → RECEIVING-DOCK</t>
        </is>
      </c>
      <c r="E7" s="13" t="inlineStr">
        <is>
          <t>Synced</t>
        </is>
      </c>
      <c r="F7" s="13" t="n"/>
    </row>
    <row r="8">
      <c r="A8" s="13" t="n"/>
      <c r="B8" s="13" t="n"/>
      <c r="C8" s="13" t="n"/>
      <c r="D8" s="13" t="inlineStr">
        <is>
          <t>└─ LABSSEAL-1 x9720  SW-STORAGE → RECEIVING-DOCK</t>
        </is>
      </c>
      <c r="E8" s="13" t="inlineStr">
        <is>
          <t>Synced</t>
        </is>
      </c>
      <c r="F8" s="13" t="n"/>
    </row>
    <row r="9">
      <c r="A9" s="13" t="inlineStr">
        <is>
          <t>WK-346</t>
        </is>
      </c>
      <c r="B9" s="14" t="n">
        <v>46085.33194444444</v>
      </c>
      <c r="C9" s="22" t="inlineStr">
        <is>
          <t>#93599</t>
        </is>
      </c>
      <c r="D9" s="13" t="inlineStr">
        <is>
          <t>1 item → SHIPPING-DOCK</t>
        </is>
      </c>
      <c r="E9" s="13" t="inlineStr">
        <is>
          <t>Complete</t>
        </is>
      </c>
      <c r="F9" s="13" t="n"/>
    </row>
    <row r="10">
      <c r="A10" s="16" t="n"/>
      <c r="B10" s="16" t="n"/>
      <c r="C10" s="16" t="n"/>
      <c r="D10" s="13" t="inlineStr">
        <is>
          <t>└─ UFC-4OZ x1  → SHIPPING-DOCK</t>
        </is>
      </c>
      <c r="E10" s="13" t="inlineStr">
        <is>
          <t>Complete</t>
        </is>
      </c>
      <c r="F10" s="16" t="n"/>
    </row>
    <row r="11">
      <c r="A11" s="13" t="inlineStr">
        <is>
          <t>WK-345</t>
        </is>
      </c>
      <c r="B11" s="14" t="n">
        <v>46085.33194444444</v>
      </c>
      <c r="C11" s="22" t="inlineStr">
        <is>
          <t>#93558</t>
        </is>
      </c>
      <c r="D11" s="13" t="inlineStr">
        <is>
          <t>1 item → SHIPPING-DOCK</t>
        </is>
      </c>
      <c r="E11" s="13" t="inlineStr">
        <is>
          <t>Complete</t>
        </is>
      </c>
      <c r="F11" s="13" t="n"/>
    </row>
    <row r="12">
      <c r="A12" s="13" t="inlineStr">
        <is>
          <t>WK-348</t>
        </is>
      </c>
      <c r="B12" s="14" t="n">
        <v>46085.33194444444</v>
      </c>
      <c r="C12" s="22" t="inlineStr">
        <is>
          <t>#93569</t>
        </is>
      </c>
      <c r="D12" s="13" t="inlineStr">
        <is>
          <t>1 item → SHIPPING-DOCK</t>
        </is>
      </c>
      <c r="E12" s="13" t="inlineStr">
        <is>
          <t>Complete</t>
        </is>
      </c>
      <c r="F12" s="13" t="n"/>
    </row>
    <row r="13">
      <c r="A13" s="13" t="n"/>
      <c r="B13" s="13" t="n"/>
      <c r="C13" s="23" t="n"/>
      <c r="D13" s="13" t="inlineStr">
        <is>
          <t>└─ UFC-4OZ x1  → SHIPPING-DOCK</t>
        </is>
      </c>
      <c r="E13" s="13" t="inlineStr">
        <is>
          <t>Complete</t>
        </is>
      </c>
      <c r="F13" s="16" t="n"/>
    </row>
    <row r="14">
      <c r="A14" s="16" t="n"/>
      <c r="B14" s="16" t="n"/>
      <c r="C14" s="16" t="n"/>
      <c r="D14" s="13" t="inlineStr">
        <is>
          <t>├─ TTFC-4OZ x2  → SHIPPING-DOCK</t>
        </is>
      </c>
      <c r="E14" s="13" t="inlineStr">
        <is>
          <t>Complete</t>
        </is>
      </c>
      <c r="F14" s="16" t="n"/>
    </row>
    <row r="15">
      <c r="A15" s="16" t="n"/>
      <c r="B15" s="16" t="n"/>
      <c r="C15" s="16" t="n"/>
      <c r="D15" s="13" t="inlineStr">
        <is>
          <t>└─ UFC-1OZ x1  → SHIPPING-DOCK</t>
        </is>
      </c>
      <c r="E15" s="13" t="inlineStr">
        <is>
          <t>Complete</t>
        </is>
      </c>
      <c r="F15" s="16" t="n"/>
    </row>
    <row r="16">
      <c r="A16" s="13" t="inlineStr">
        <is>
          <t>WK-350</t>
        </is>
      </c>
      <c r="B16" s="14" t="n">
        <v>46085.33194444444</v>
      </c>
      <c r="C16" s="22" t="inlineStr">
        <is>
          <t>#93596</t>
        </is>
      </c>
      <c r="D16" s="13" t="inlineStr">
        <is>
          <t>1 item → SHIPPING-DOCK</t>
        </is>
      </c>
      <c r="E16" s="13" t="inlineStr">
        <is>
          <t>Complete</t>
        </is>
      </c>
      <c r="F16" s="13" t="n"/>
    </row>
    <row r="17">
      <c r="A17" s="16" t="n"/>
      <c r="B17" s="16" t="n"/>
      <c r="C17" s="16" t="n"/>
      <c r="D17" s="13" t="inlineStr">
        <is>
          <t>└─ CAR-4OZ x1  → SHIPPING-DOCK</t>
        </is>
      </c>
      <c r="E17" s="13" t="inlineStr">
        <is>
          <t>Complete</t>
        </is>
      </c>
      <c r="F17" s="16" t="n"/>
    </row>
    <row r="18">
      <c r="A18" s="13" t="inlineStr">
        <is>
          <t>WK-353</t>
        </is>
      </c>
      <c r="B18" s="14" t="n">
        <v>46085.33194444444</v>
      </c>
      <c r="C18" s="22" t="inlineStr">
        <is>
          <t>#93618</t>
        </is>
      </c>
      <c r="D18" s="13" t="inlineStr">
        <is>
          <t>1 item → SHIPPING-DOCK</t>
        </is>
      </c>
      <c r="E18" s="13" t="inlineStr">
        <is>
          <t>Complete</t>
        </is>
      </c>
      <c r="F18" s="13" t="n"/>
    </row>
    <row r="19">
      <c r="A19" s="13" t="inlineStr">
        <is>
          <t>WK-352</t>
        </is>
      </c>
      <c r="B19" s="14" t="n">
        <v>46085.33194444444</v>
      </c>
      <c r="C19" s="22" t="inlineStr">
        <is>
          <t>#93535</t>
        </is>
      </c>
      <c r="D19" s="13" t="inlineStr">
        <is>
          <t>1 item → SHIPPING-DOCK</t>
        </is>
      </c>
      <c r="E19" s="13" t="inlineStr">
        <is>
          <t>Complete</t>
        </is>
      </c>
      <c r="F19" s="13" t="n"/>
    </row>
    <row r="20">
      <c r="A20" s="16" t="n"/>
      <c r="B20" s="16" t="n"/>
      <c r="C20" s="16" t="n"/>
      <c r="D20" s="13" t="inlineStr">
        <is>
          <t>└─ UFC-1OZ x1  → SHIPPING-DOCK</t>
        </is>
      </c>
      <c r="E20" s="13" t="inlineStr">
        <is>
          <t>Complete</t>
        </is>
      </c>
      <c r="F20" s="16" t="n"/>
    </row>
    <row r="21">
      <c r="A21" s="13" t="inlineStr">
        <is>
          <t>WK-354</t>
        </is>
      </c>
      <c r="B21" s="14" t="n">
        <v>46085.33333333334</v>
      </c>
      <c r="C21" s="22" t="inlineStr">
        <is>
          <t>#93543</t>
        </is>
      </c>
      <c r="D21" s="13" t="inlineStr">
        <is>
          <t>1 item → SHIPPING-DOCK</t>
        </is>
      </c>
      <c r="E21" s="13" t="inlineStr">
        <is>
          <t>Complete</t>
        </is>
      </c>
      <c r="F21" s="13" t="n"/>
    </row>
    <row r="22">
      <c r="A22" s="13" t="n"/>
      <c r="B22" s="13" t="n"/>
      <c r="C22" s="23" t="n"/>
      <c r="D22" s="13" t="inlineStr">
        <is>
          <t>└─ VB-UHP x1  → SHIPPING-DOCK</t>
        </is>
      </c>
      <c r="E22" s="13" t="inlineStr">
        <is>
          <t>Complete</t>
        </is>
      </c>
      <c r="F22" s="16" t="n"/>
    </row>
    <row r="23">
      <c r="A23" s="13" t="inlineStr">
        <is>
          <t>WK-355</t>
        </is>
      </c>
      <c r="B23" s="14" t="n">
        <v>46085.33402777778</v>
      </c>
      <c r="C23" s="22" t="inlineStr">
        <is>
          <t>#93572</t>
        </is>
      </c>
      <c r="D23" s="13" t="inlineStr">
        <is>
          <t>1 item → SHIPPING-DOCK</t>
        </is>
      </c>
      <c r="E23" s="13" t="inlineStr">
        <is>
          <t>Complete</t>
        </is>
      </c>
      <c r="F23" s="13" t="n"/>
    </row>
    <row r="24">
      <c r="A24" s="16" t="n"/>
      <c r="B24" s="16" t="n"/>
      <c r="C24" s="16" t="n"/>
      <c r="D24" s="13" t="inlineStr">
        <is>
          <t>└─ VB-UHP x1  → SHIPPING-DOCK</t>
        </is>
      </c>
      <c r="E24" s="13" t="inlineStr">
        <is>
          <t>Complete</t>
        </is>
      </c>
      <c r="F24" s="16" t="n"/>
    </row>
    <row r="25">
      <c r="A25" s="13" t="inlineStr">
        <is>
          <t>WK-358</t>
        </is>
      </c>
      <c r="B25" s="14" t="n">
        <v>46085.33402777778</v>
      </c>
      <c r="C25" s="22" t="inlineStr">
        <is>
          <t>#93526</t>
        </is>
      </c>
      <c r="D25" s="13" t="inlineStr">
        <is>
          <t>1 item → SHIPPING-DOCK</t>
        </is>
      </c>
      <c r="E25" s="13" t="inlineStr">
        <is>
          <t>Complete</t>
        </is>
      </c>
      <c r="F25" s="13" t="n"/>
    </row>
    <row r="26">
      <c r="A26" s="16" t="n"/>
      <c r="B26" s="16" t="n"/>
      <c r="C26" s="16" t="n"/>
      <c r="D26" s="13" t="inlineStr">
        <is>
          <t>└─ VB-UHP x1  → SHIPPING-DOCK</t>
        </is>
      </c>
      <c r="E26" s="13" t="inlineStr">
        <is>
          <t>Complete</t>
        </is>
      </c>
      <c r="F26" s="16" t="n"/>
    </row>
    <row r="27">
      <c r="A27" s="13" t="inlineStr">
        <is>
          <t>WK-357</t>
        </is>
      </c>
      <c r="B27" s="14" t="n">
        <v>46085.33402777778</v>
      </c>
      <c r="C27" s="22" t="inlineStr">
        <is>
          <t>#93590</t>
        </is>
      </c>
      <c r="D27" s="13" t="inlineStr">
        <is>
          <t>3 items → SHIPPING-DOCK</t>
        </is>
      </c>
      <c r="E27" s="13" t="inlineStr">
        <is>
          <t>Complete</t>
        </is>
      </c>
      <c r="F27" s="13" t="n"/>
    </row>
    <row r="28">
      <c r="A28" s="16" t="n"/>
      <c r="B28" s="16" t="n"/>
      <c r="C28" s="16" t="n"/>
      <c r="D28" s="13" t="inlineStr">
        <is>
          <t>├─ WH-8OZ-W x2  → SHIPPING-DOCK</t>
        </is>
      </c>
      <c r="E28" s="13" t="inlineStr">
        <is>
          <t>Complete</t>
        </is>
      </c>
      <c r="F28" s="16" t="n"/>
    </row>
    <row r="29">
      <c r="A29" s="16" t="n"/>
      <c r="B29" s="16" t="n"/>
      <c r="C29" s="16" t="n"/>
      <c r="D29" s="13" t="inlineStr">
        <is>
          <t>├─ UFC-4OZ x2  → SHIPPING-DOCK</t>
        </is>
      </c>
      <c r="E29" s="13" t="inlineStr">
        <is>
          <t>Complete</t>
        </is>
      </c>
      <c r="F29" s="16" t="n"/>
    </row>
    <row r="30">
      <c r="A30" s="16" t="n"/>
      <c r="B30" s="16" t="n"/>
      <c r="C30" s="16" t="n"/>
      <c r="D30" s="13" t="inlineStr">
        <is>
          <t>└─ UFC-1OZ x1  → SHIPPING-DOCK</t>
        </is>
      </c>
      <c r="E30" s="13" t="inlineStr">
        <is>
          <t>Complete</t>
        </is>
      </c>
      <c r="F30" s="16" t="n"/>
    </row>
    <row r="31">
      <c r="A31" s="13" t="inlineStr">
        <is>
          <t>WK-359</t>
        </is>
      </c>
      <c r="B31" s="14" t="n">
        <v>46085.33402777778</v>
      </c>
      <c r="C31" s="22" t="inlineStr">
        <is>
          <t>#93556</t>
        </is>
      </c>
      <c r="D31" s="13" t="inlineStr">
        <is>
          <t>1 item → SHIPPING-DOCK</t>
        </is>
      </c>
      <c r="E31" s="13" t="inlineStr">
        <is>
          <t>Complete</t>
        </is>
      </c>
      <c r="F31" s="13" t="n"/>
    </row>
    <row r="32">
      <c r="A32" s="16" t="n"/>
      <c r="B32" s="16" t="n"/>
      <c r="C32" s="16" t="n"/>
      <c r="D32" s="13" t="inlineStr">
        <is>
          <t>└─ VB-UHP x1  → SHIPPING-DOCK</t>
        </is>
      </c>
      <c r="E32" s="13" t="inlineStr">
        <is>
          <t>Complete</t>
        </is>
      </c>
      <c r="F32" s="16" t="n"/>
    </row>
    <row r="33">
      <c r="A33" s="13" t="inlineStr">
        <is>
          <t>WK-360</t>
        </is>
      </c>
      <c r="B33" s="14" t="n">
        <v>46085.33402777778</v>
      </c>
      <c r="C33" s="22" t="inlineStr">
        <is>
          <t>#93610</t>
        </is>
      </c>
      <c r="D33" s="13" t="inlineStr">
        <is>
          <t>1 item → SHIPPING-DOCK</t>
        </is>
      </c>
      <c r="E33" s="13" t="inlineStr">
        <is>
          <t>Complete</t>
        </is>
      </c>
      <c r="F33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.5" customWidth="1" min="1" max="1"/>
    <col width="23" customWidth="1" min="2" max="2"/>
    <col width="27.5" customWidth="1" min="3" max="3"/>
    <col width="50.13" customWidth="1" min="4" max="4"/>
    <col width="10.13" customWidth="1" min="5" max="5"/>
    <col width="37.63" customWidth="1" min="6" max="6"/>
  </cols>
  <sheetData>
    <row r="1">
      <c r="A1" s="1" t="inlineStr">
        <is>
          <t>F4 MANUFACTURING</t>
        </is>
      </c>
      <c r="B1" s="1" t="n"/>
      <c r="C1" s="1" t="n"/>
      <c r="D1" s="1" t="n"/>
      <c r="E1" s="21">
        <f>"Events: " &amp; COUNTA(A4:A608) &amp; "  |  OK: " &amp; COUNTIFS(A4:A608,"&lt;&gt;",E4:E608,"&lt;&gt;Failed",E4:E608,"&lt;&gt;Error",E4:E608,"&lt;&gt;Partial") &amp; "  |  Errors: " &amp; COUNTIFS(A4:A608,"&lt;&gt;",E4:E608,"Failed") &amp; IF(COUNTIFS(A4:A608,"&lt;&gt;",E4:E608,"Partial")&gt;0,"  |  Partial: " &amp; COUNTIFS(A4:A608,"&lt;&gt;",E4:E608,"Partial"),"")</f>
        <v/>
      </c>
      <c r="F1" s="1" t="n"/>
    </row>
    <row r="2">
      <c r="A2" s="2" t="inlineStr">
        <is>
          <t>Katana MO Complete to WASP Inventory</t>
        </is>
      </c>
      <c r="B2" s="2" t="n"/>
      <c r="C2" s="2" t="n"/>
      <c r="D2" s="2" t="n"/>
      <c r="E2" s="2" t="n"/>
      <c r="F2" s="2" t="n"/>
    </row>
    <row r="3">
      <c r="A3" s="11" t="inlineStr">
        <is>
          <t>Exec ID</t>
        </is>
      </c>
      <c r="B3" s="11" t="inlineStr">
        <is>
          <t>Time</t>
        </is>
      </c>
      <c r="C3" s="11" t="inlineStr">
        <is>
          <t>Ref#</t>
        </is>
      </c>
      <c r="D3" s="11" t="inlineStr">
        <is>
          <t>Details</t>
        </is>
      </c>
      <c r="E3" s="11" t="inlineStr">
        <is>
          <t>Status</t>
        </is>
      </c>
      <c r="F3" s="11" t="inlineStr">
        <is>
          <t>Error</t>
        </is>
      </c>
    </row>
    <row r="4">
      <c r="A4" s="13" t="inlineStr">
        <is>
          <t>WK-026</t>
        </is>
      </c>
      <c r="B4" s="14" t="n">
        <v>46083.3125</v>
      </c>
      <c r="C4" s="22" t="inlineStr">
        <is>
          <t>MO-7278 // Mar 02</t>
        </is>
      </c>
      <c r="D4" s="13" t="inlineStr">
        <is>
          <t>IPLJ-4 x1423 → PRODUCTION</t>
        </is>
      </c>
      <c r="E4" s="13" t="inlineStr">
        <is>
          <t>Complete</t>
        </is>
      </c>
      <c r="F4" s="13" t="n"/>
    </row>
    <row r="5">
      <c r="A5" s="16" t="n"/>
      <c r="B5" s="16" t="n"/>
      <c r="C5" s="16" t="n"/>
      <c r="D5" s="13" t="inlineStr">
        <is>
          <t>├─ AGJAR-4 x1423  PRODUCTION</t>
        </is>
      </c>
      <c r="E5" s="13" t="inlineStr">
        <is>
          <t>Consumed</t>
        </is>
      </c>
      <c r="F5" s="13" t="n"/>
    </row>
    <row r="6">
      <c r="A6" s="16" t="n"/>
      <c r="B6" s="16" t="n"/>
      <c r="C6" s="16" t="n"/>
      <c r="D6" s="13" t="inlineStr">
        <is>
          <t>└─ IPLJ-4 x1423  PRODUCTION</t>
        </is>
      </c>
      <c r="E6" s="13" t="inlineStr">
        <is>
          <t>Produced</t>
        </is>
      </c>
      <c r="F6" s="13" t="n"/>
    </row>
    <row r="7">
      <c r="A7" s="13" t="inlineStr">
        <is>
          <t>WK-027</t>
        </is>
      </c>
      <c r="B7" s="14" t="n">
        <v>46083.35069444445</v>
      </c>
      <c r="C7" s="22" t="inlineStr">
        <is>
          <t>MO-7269 // Mar 02</t>
        </is>
      </c>
      <c r="D7" s="13" t="inlineStr">
        <is>
          <t>IP-EGG x3220 → PRODUCTION</t>
        </is>
      </c>
      <c r="E7" s="13" t="inlineStr">
        <is>
          <t>Complete</t>
        </is>
      </c>
      <c r="F7" s="13" t="n"/>
    </row>
    <row r="8">
      <c r="A8" s="13" t="n"/>
      <c r="B8" s="13" t="n"/>
      <c r="C8" s="13" t="n"/>
      <c r="D8" s="13" t="inlineStr">
        <is>
          <t>├─ EGG-X x197  PRODUCTION</t>
        </is>
      </c>
      <c r="E8" s="13" t="inlineStr">
        <is>
          <t>Consumed</t>
        </is>
      </c>
      <c r="F8" s="13" t="inlineStr">
        <is>
          <t>FIXED</t>
        </is>
      </c>
    </row>
    <row r="9">
      <c r="A9" s="16" t="n"/>
      <c r="B9" s="16" t="n"/>
      <c r="C9" s="16" t="n"/>
      <c r="D9" s="13" t="inlineStr">
        <is>
          <t>└─ IP-EGG x3220  PRODUCTION</t>
        </is>
      </c>
      <c r="E9" s="13" t="inlineStr">
        <is>
          <t>Produced</t>
        </is>
      </c>
      <c r="F9" s="13" t="n"/>
    </row>
    <row r="10">
      <c r="A10" s="13" t="inlineStr">
        <is>
          <t>WK-028</t>
        </is>
      </c>
      <c r="B10" s="14" t="n">
        <v>46083.35138888889</v>
      </c>
      <c r="C10" s="22" t="inlineStr">
        <is>
          <t>MO-7270 // Mar 02</t>
        </is>
      </c>
      <c r="D10" s="13" t="inlineStr">
        <is>
          <t>IP-EGG x3250 → PRODUCTION</t>
        </is>
      </c>
      <c r="E10" s="13" t="inlineStr">
        <is>
          <t>Complete</t>
        </is>
      </c>
      <c r="F10" s="13" t="n"/>
    </row>
    <row r="11">
      <c r="A11" s="13" t="n"/>
      <c r="B11" s="13" t="n"/>
      <c r="C11" s="13" t="n"/>
      <c r="D11" s="13" t="inlineStr">
        <is>
          <t>├─ EGG-X x197  PRODUCTION</t>
        </is>
      </c>
      <c r="E11" s="13" t="inlineStr">
        <is>
          <t>Consumed</t>
        </is>
      </c>
      <c r="F11" s="13" t="inlineStr">
        <is>
          <t>FIXED</t>
        </is>
      </c>
    </row>
    <row r="12">
      <c r="A12" s="16" t="n"/>
      <c r="B12" s="16" t="n"/>
      <c r="C12" s="16" t="n"/>
      <c r="D12" s="13" t="inlineStr">
        <is>
          <t>└─ IP-EGG x3250  PRODUCTION</t>
        </is>
      </c>
      <c r="E12" s="13" t="inlineStr">
        <is>
          <t>Produced</t>
        </is>
      </c>
      <c r="F12" s="13" t="n"/>
    </row>
    <row r="13">
      <c r="A13" s="13" t="inlineStr">
        <is>
          <t>WK-029</t>
        </is>
      </c>
      <c r="B13" s="14" t="n">
        <v>46083.38541666666</v>
      </c>
      <c r="C13" s="22" t="inlineStr">
        <is>
          <t>MO-7268 // FEB 27</t>
        </is>
      </c>
      <c r="D13" s="13" t="inlineStr">
        <is>
          <t>UFC-4OZ x936 → PROD-RECEIVING</t>
        </is>
      </c>
      <c r="E13" s="13" t="inlineStr">
        <is>
          <t>Complete</t>
        </is>
      </c>
      <c r="F13" s="13" t="n"/>
    </row>
    <row r="14">
      <c r="A14" s="16" t="n"/>
      <c r="B14" s="16" t="n"/>
      <c r="C14" s="16" t="n"/>
      <c r="D14" s="13" t="inlineStr">
        <is>
          <t>├─ LUP-4 x936  PRODUCTION (3 batches)</t>
        </is>
      </c>
      <c r="E14" s="13" t="n"/>
      <c r="F14" s="13" t="n"/>
    </row>
    <row r="15">
      <c r="A15" s="13" t="n"/>
      <c r="B15" s="13" t="n"/>
      <c r="C15" s="13" t="n"/>
      <c r="D15" s="13" t="inlineStr">
        <is>
          <t>│   ├─ x475  lot:UFC409C exp:2029-02-28</t>
        </is>
      </c>
      <c r="E15" s="13" t="inlineStr">
        <is>
          <t>Consumed</t>
        </is>
      </c>
      <c r="F15" s="13" t="inlineStr">
        <is>
          <t>FIXED</t>
        </is>
      </c>
    </row>
    <row r="16">
      <c r="A16" s="16" t="n"/>
      <c r="B16" s="16" t="n"/>
      <c r="C16" s="16" t="n"/>
      <c r="D16" s="13" t="inlineStr">
        <is>
          <t>│   ├─ x270  lot:UFC409B  exp:2029-02-28</t>
        </is>
      </c>
      <c r="E16" s="13" t="inlineStr">
        <is>
          <t>Consumed</t>
        </is>
      </c>
      <c r="F16" s="13" t="inlineStr">
        <is>
          <t>FIXED</t>
        </is>
      </c>
    </row>
    <row r="17">
      <c r="A17" s="13" t="n"/>
      <c r="B17" s="13" t="n"/>
      <c r="C17" s="13" t="n"/>
      <c r="D17" s="13" t="inlineStr">
        <is>
          <t>│   └─ x191  lot:UFC410A  exp:2029-02-28</t>
        </is>
      </c>
      <c r="E17" s="13" t="inlineStr">
        <is>
          <t>Consumed</t>
        </is>
      </c>
      <c r="F17" s="13" t="n"/>
    </row>
    <row r="18">
      <c r="A18" s="13" t="n"/>
      <c r="B18" s="13" t="n"/>
      <c r="C18" s="13" t="n"/>
      <c r="D18" s="13" t="inlineStr">
        <is>
          <t>├─ L-M x936  PRODUCTION</t>
        </is>
      </c>
      <c r="E18" s="13" t="inlineStr">
        <is>
          <t>Consumed</t>
        </is>
      </c>
      <c r="F18" s="13" t="n"/>
    </row>
    <row r="19">
      <c r="A19" s="13" t="n"/>
      <c r="B19" s="13" t="n"/>
      <c r="C19" s="13" t="n"/>
      <c r="D19" s="13" t="inlineStr">
        <is>
          <t>├─ NI-B221210 x12.99  PRODUCTION</t>
        </is>
      </c>
      <c r="E19" s="13" t="inlineStr">
        <is>
          <t>Consumed</t>
        </is>
      </c>
      <c r="F19" s="16" t="n"/>
    </row>
    <row r="20">
      <c r="A20" s="16" t="n"/>
      <c r="B20" s="16" t="n"/>
      <c r="C20" s="16" t="n"/>
      <c r="D20" s="13" t="inlineStr">
        <is>
          <t>├─ FBA-FRAGILE x25.99272  PRODUCTION</t>
        </is>
      </c>
      <c r="E20" s="13" t="inlineStr">
        <is>
          <t>Consumed</t>
        </is>
      </c>
      <c r="F20" s="13" t="n"/>
    </row>
    <row r="21">
      <c r="A21" s="13" t="n"/>
      <c r="B21" s="13" t="n"/>
      <c r="C21" s="13" t="n"/>
      <c r="D21" s="13" t="inlineStr">
        <is>
          <t>├─ B-PURPLE-4 x936  PRODUCTION</t>
        </is>
      </c>
      <c r="E21" s="13" t="inlineStr">
        <is>
          <t>Consumed</t>
        </is>
      </c>
      <c r="F21" s="13" t="n"/>
    </row>
    <row r="22">
      <c r="A22" s="16" t="n"/>
      <c r="B22" s="16" t="n"/>
      <c r="C22" s="16" t="n"/>
      <c r="D22" s="13" t="inlineStr">
        <is>
          <t>└─ UFC-4OZ x936  PROD-RECEIVING</t>
        </is>
      </c>
      <c r="E22" s="13" t="inlineStr">
        <is>
          <t>Produced</t>
        </is>
      </c>
      <c r="F22" s="13" t="n"/>
    </row>
    <row r="23">
      <c r="A23" s="13" t="inlineStr">
        <is>
          <t>WK-030</t>
        </is>
      </c>
      <c r="B23" s="14" t="n">
        <v>46083.41111111111</v>
      </c>
      <c r="C23" s="22" t="inlineStr">
        <is>
          <t>MO-7285 (UFC414A) // MAR 02</t>
        </is>
      </c>
      <c r="D23" s="13" t="inlineStr">
        <is>
          <t>MS-IP-4 x478 → PRODUCTION</t>
        </is>
      </c>
      <c r="E23" s="13" t="inlineStr">
        <is>
          <t>Complete</t>
        </is>
      </c>
      <c r="F23" s="13" t="n"/>
    </row>
    <row r="24">
      <c r="A24" s="16" t="n"/>
      <c r="B24" s="16" t="n"/>
      <c r="C24" s="16" t="n"/>
      <c r="D24" s="13" t="inlineStr">
        <is>
          <t>├─ LABSSEAL-4 x478  PRODUCTION</t>
        </is>
      </c>
      <c r="E24" s="13" t="inlineStr">
        <is>
          <t>Consumed</t>
        </is>
      </c>
      <c r="F24" s="13" t="n"/>
    </row>
    <row r="25">
      <c r="A25" s="13" t="n"/>
      <c r="B25" s="13" t="n"/>
      <c r="C25" s="13" t="n"/>
      <c r="D25" s="13" t="inlineStr">
        <is>
          <t>├─ G-OIL x2.04  PRODUCTION  lot:06603/25  exp:2028-06-30</t>
        </is>
      </c>
      <c r="E25" s="13" t="inlineStr">
        <is>
          <t>Consumed</t>
        </is>
      </c>
      <c r="F25" s="16" t="n"/>
    </row>
    <row r="26">
      <c r="A26" s="13" t="n"/>
      <c r="B26" s="13" t="n"/>
      <c r="C26" s="13" t="n"/>
      <c r="D26" s="13" t="inlineStr">
        <is>
          <t>├─ B-WAX x7200  PRODUCTION  lot:MHF121525  exp:2026-12-15</t>
        </is>
      </c>
      <c r="E26" s="13" t="inlineStr">
        <is>
          <t>Consumed</t>
        </is>
      </c>
      <c r="F26" s="13" t="n"/>
    </row>
    <row r="27">
      <c r="A27" s="16" t="n"/>
      <c r="B27" s="16" t="n"/>
      <c r="C27" s="16" t="n"/>
      <c r="D27" s="13" t="inlineStr">
        <is>
          <t>├─ IP-EGG x3200  PRODUCTION</t>
        </is>
      </c>
      <c r="E27" s="13" t="inlineStr">
        <is>
          <t>Consumed</t>
        </is>
      </c>
      <c r="F27" s="13" t="n"/>
    </row>
    <row r="28">
      <c r="A28" s="16" t="n"/>
      <c r="B28" s="16" t="n"/>
      <c r="C28" s="16" t="n"/>
      <c r="D28" s="13" t="inlineStr">
        <is>
          <t>├─ PROPOLIS160 x1  PRODUCTION</t>
        </is>
      </c>
      <c r="E28" s="13" t="inlineStr">
        <is>
          <t>Consumed</t>
        </is>
      </c>
      <c r="F28" s="13" t="n"/>
    </row>
    <row r="29">
      <c r="A29" s="13" t="n"/>
      <c r="B29" s="13" t="n"/>
      <c r="C29" s="13" t="n"/>
      <c r="D29" s="13" t="inlineStr">
        <is>
          <t>├─ EO-LAV x300  PRODUCTION  lot:5005828385  exp:2029-07-01</t>
        </is>
      </c>
      <c r="E29" s="13" t="inlineStr">
        <is>
          <t>Consumed</t>
        </is>
      </c>
      <c r="F29" s="16" t="n"/>
    </row>
    <row r="30">
      <c r="A30" s="16" t="n"/>
      <c r="B30" s="16" t="n"/>
      <c r="C30" s="16" t="n"/>
      <c r="D30" s="13" t="inlineStr">
        <is>
          <t>├─ IPLJ-4 x478  PRODUCTION</t>
        </is>
      </c>
      <c r="E30" s="13" t="inlineStr">
        <is>
          <t>Consumed</t>
        </is>
      </c>
      <c r="F30" s="13" t="n"/>
    </row>
    <row r="31">
      <c r="A31" s="16" t="n"/>
      <c r="B31" s="16" t="n"/>
      <c r="C31" s="16" t="n"/>
      <c r="D31" s="13" t="inlineStr">
        <is>
          <t>├─ O-OIL x38.348  PRODUCTION  lot:47/2025  exp:2028-09-30</t>
        </is>
      </c>
      <c r="E31" s="13" t="inlineStr">
        <is>
          <t>Consumed</t>
        </is>
      </c>
      <c r="F31" s="16" t="n"/>
    </row>
    <row r="32">
      <c r="A32" s="13" t="n"/>
      <c r="B32" s="13" t="n"/>
      <c r="C32" s="13" t="n"/>
      <c r="D32" s="13" t="inlineStr">
        <is>
          <t>└─ MS-IP-4 x478  PRODUCTION  lot:UFC414A  exp:2029-03-02</t>
        </is>
      </c>
      <c r="E32" s="13" t="inlineStr">
        <is>
          <t>Produced</t>
        </is>
      </c>
      <c r="F32" s="16" t="n"/>
    </row>
    <row r="33">
      <c r="A33" s="13" t="inlineStr">
        <is>
          <t>WK-031</t>
        </is>
      </c>
      <c r="B33" s="14" t="n">
        <v>46083.44861111111</v>
      </c>
      <c r="C33" s="22" t="inlineStr">
        <is>
          <t>MO-7305 // MAR 02</t>
        </is>
      </c>
      <c r="D33" s="13" t="inlineStr">
        <is>
          <t>UFC-4OZ x576 → PROD-RECEIVING</t>
        </is>
      </c>
      <c r="E33" s="13" t="inlineStr">
        <is>
          <t>Complete</t>
        </is>
      </c>
      <c r="F33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.880000000000001" customWidth="1" min="1" max="1"/>
    <col width="6.38" customWidth="1" min="2" max="2"/>
    <col width="12.63" customWidth="1" min="3" max="3"/>
    <col width="50.13" customWidth="1" min="4" max="4"/>
    <col width="10.13" customWidth="1" min="5" max="5"/>
    <col width="37.63" customWidth="1" min="6" max="6"/>
  </cols>
  <sheetData>
    <row r="1">
      <c r="A1" s="1" t="inlineStr">
        <is>
          <t>F5 SHIPPING</t>
        </is>
      </c>
      <c r="B1" s="1" t="n"/>
      <c r="C1" s="1" t="n"/>
      <c r="D1" s="1" t="n"/>
      <c r="E1" s="21">
        <f>"Events: " &amp; COUNTA(A4:A1670) &amp; "  |  OK: " &amp; COUNTIFS(A4:A1670,"&lt;&gt;",E4:E1670,"&lt;&gt;Failed",E4:E1670,"&lt;&gt;Error",E4:E1670,"&lt;&gt;Partial") &amp; "  |  Errors: " &amp; COUNTIFS(A4:A1670,"&lt;&gt;",E4:E1670,"Failed") &amp; IF(COUNTIFS(A4:A1670,"&lt;&gt;",E4:E1670,"Partial")&gt;0,"  |  Partial: " &amp; COUNTIFS(A4:A1670,"&lt;&gt;",E4:E1670,"Partial"),"")</f>
        <v/>
      </c>
      <c r="F1" s="1" t="n"/>
    </row>
    <row r="2">
      <c r="A2" s="2" t="inlineStr">
        <is>
          <t>SO to Pick Order + ShipStation</t>
        </is>
      </c>
      <c r="B2" s="2" t="n"/>
      <c r="C2" s="2" t="n"/>
      <c r="D2" s="2" t="n"/>
      <c r="E2" s="2" t="n"/>
      <c r="F2" s="2" t="n"/>
    </row>
    <row r="3">
      <c r="A3" s="11" t="inlineStr">
        <is>
          <t>Exec ID</t>
        </is>
      </c>
      <c r="B3" s="11" t="inlineStr">
        <is>
          <t>Time</t>
        </is>
      </c>
      <c r="C3" s="11" t="inlineStr">
        <is>
          <t>Ref#</t>
        </is>
      </c>
      <c r="D3" s="11" t="inlineStr">
        <is>
          <t>Details</t>
        </is>
      </c>
      <c r="E3" s="11" t="inlineStr">
        <is>
          <t>Status</t>
        </is>
      </c>
      <c r="F3" s="11" t="inlineStr">
        <is>
          <t>Error</t>
        </is>
      </c>
    </row>
    <row r="4">
      <c r="A4" s="13" t="inlineStr">
        <is>
          <t>WK-090</t>
        </is>
      </c>
      <c r="B4" s="14" t="n">
        <v>46084.36805555555</v>
      </c>
      <c r="C4" s="22" t="inlineStr">
        <is>
          <t>#93417</t>
        </is>
      </c>
      <c r="D4" s="13" t="inlineStr">
        <is>
          <t>#93417  UFC-4OZ x1  → SHOPIFY @ MMH Kelowna</t>
        </is>
      </c>
      <c r="E4" s="13" t="inlineStr">
        <is>
          <t>Shipped</t>
        </is>
      </c>
      <c r="F4" s="13" t="n"/>
    </row>
    <row r="5">
      <c r="A5" s="16" t="n"/>
      <c r="B5" s="13" t="n"/>
      <c r="C5" s="13" t="n"/>
      <c r="D5" s="13" t="inlineStr">
        <is>
          <t>└─ UFC-4OZ x1  SHOPIFY</t>
        </is>
      </c>
      <c r="E5" s="13" t="inlineStr">
        <is>
          <t>Deducted</t>
        </is>
      </c>
      <c r="F5" s="16" t="n"/>
    </row>
    <row r="6">
      <c r="A6" s="13" t="inlineStr">
        <is>
          <t>WK-091</t>
        </is>
      </c>
      <c r="B6" s="14" t="n">
        <v>46084.36805555555</v>
      </c>
      <c r="C6" s="22" t="inlineStr">
        <is>
          <t>#93290</t>
        </is>
      </c>
      <c r="D6" s="13" t="inlineStr">
        <is>
          <t>#93290  2 items  → SHOPIFY @ MMH Kelowna</t>
        </is>
      </c>
      <c r="E6" s="13" t="inlineStr">
        <is>
          <t>Shipped</t>
        </is>
      </c>
      <c r="F6" s="13" t="n"/>
    </row>
    <row r="7">
      <c r="A7" s="16" t="n"/>
      <c r="B7" s="13" t="n"/>
      <c r="C7" s="13" t="n"/>
      <c r="D7" s="13" t="inlineStr">
        <is>
          <t>├─ UFC-4OZ x2  SHOPIFY</t>
        </is>
      </c>
      <c r="E7" s="13" t="inlineStr">
        <is>
          <t>Deducted</t>
        </is>
      </c>
      <c r="F7" s="16" t="n"/>
    </row>
    <row r="8">
      <c r="A8" s="13" t="n"/>
      <c r="B8" s="13" t="n"/>
      <c r="C8" s="13" t="n"/>
      <c r="D8" s="13" t="inlineStr">
        <is>
          <t>└─ TTFC-1OZ x1  SHOPIFY</t>
        </is>
      </c>
      <c r="E8" s="13" t="inlineStr">
        <is>
          <t>Deducted</t>
        </is>
      </c>
      <c r="F8" s="16" t="n"/>
    </row>
    <row r="9">
      <c r="A9" s="13" t="inlineStr">
        <is>
          <t>WK-092</t>
        </is>
      </c>
      <c r="B9" s="14" t="n">
        <v>46084.36805555555</v>
      </c>
      <c r="C9" s="22" t="inlineStr">
        <is>
          <t>#93243</t>
        </is>
      </c>
      <c r="D9" s="13" t="inlineStr">
        <is>
          <t>#93243  UFC-4OZ x1  → SHOPIFY @ MMH Kelowna</t>
        </is>
      </c>
      <c r="E9" s="13" t="inlineStr">
        <is>
          <t>Shipped</t>
        </is>
      </c>
      <c r="F9" s="13" t="n"/>
    </row>
    <row r="10">
      <c r="A10" s="13" t="n"/>
      <c r="B10" s="13" t="n"/>
      <c r="C10" s="13" t="n"/>
      <c r="D10" s="13" t="inlineStr">
        <is>
          <t>└─ UFC-4OZ x1  SHOPIFY</t>
        </is>
      </c>
      <c r="E10" s="13" t="inlineStr">
        <is>
          <t>Deducted</t>
        </is>
      </c>
      <c r="F10" s="16" t="n"/>
    </row>
    <row r="11">
      <c r="A11" s="13" t="inlineStr">
        <is>
          <t>WK-093</t>
        </is>
      </c>
      <c r="B11" s="14" t="n">
        <v>46084.36805555555</v>
      </c>
      <c r="C11" s="22" t="inlineStr">
        <is>
          <t>#93428</t>
        </is>
      </c>
      <c r="D11" s="13" t="inlineStr">
        <is>
          <t>#93428  2 items  → SHOPIFY @ MMH Kelowna</t>
        </is>
      </c>
      <c r="E11" s="13" t="inlineStr">
        <is>
          <t>Shipped</t>
        </is>
      </c>
      <c r="F11" s="13" t="n"/>
    </row>
    <row r="12">
      <c r="A12" s="13" t="n"/>
      <c r="B12" s="13" t="n"/>
      <c r="C12" s="13" t="n"/>
      <c r="D12" s="13" t="inlineStr">
        <is>
          <t>├─ UFC-4OZ x2  SHOPIFY</t>
        </is>
      </c>
      <c r="E12" s="13" t="inlineStr">
        <is>
          <t>Deducted</t>
        </is>
      </c>
      <c r="F12" s="16" t="n"/>
    </row>
    <row r="13">
      <c r="A13" s="13" t="n"/>
      <c r="B13" s="13" t="n"/>
      <c r="C13" s="13" t="n"/>
      <c r="D13" s="13" t="inlineStr">
        <is>
          <t>└─ UFC-1OZ x1  SHOPIFY</t>
        </is>
      </c>
      <c r="E13" s="13" t="inlineStr">
        <is>
          <t>Deducted</t>
        </is>
      </c>
      <c r="F13" s="16" t="n"/>
    </row>
    <row r="14">
      <c r="A14" s="13" t="inlineStr">
        <is>
          <t>WK-094</t>
        </is>
      </c>
      <c r="B14" s="14" t="n">
        <v>46084.36805555555</v>
      </c>
      <c r="C14" s="22" t="inlineStr">
        <is>
          <t>#93427</t>
        </is>
      </c>
      <c r="D14" s="13" t="inlineStr">
        <is>
          <t>#93427  UFC-4OZ x1  → SHOPIFY @ MMH Kelowna</t>
        </is>
      </c>
      <c r="E14" s="13" t="inlineStr">
        <is>
          <t>Shipped</t>
        </is>
      </c>
      <c r="F14" s="13" t="n"/>
    </row>
    <row r="15">
      <c r="A15" s="13" t="n"/>
      <c r="B15" s="13" t="n"/>
      <c r="C15" s="13" t="n"/>
      <c r="D15" s="13" t="inlineStr">
        <is>
          <t>└─ UFC-4OZ x1  SHOPIFY</t>
        </is>
      </c>
      <c r="E15" s="13" t="inlineStr">
        <is>
          <t>Deducted</t>
        </is>
      </c>
      <c r="F15" s="13" t="n"/>
    </row>
    <row r="16">
      <c r="A16" s="13" t="inlineStr">
        <is>
          <t>WK-095</t>
        </is>
      </c>
      <c r="B16" s="14" t="n">
        <v>46084.36805555555</v>
      </c>
      <c r="C16" s="22" t="inlineStr">
        <is>
          <t>#93423</t>
        </is>
      </c>
      <c r="D16" s="13" t="inlineStr">
        <is>
          <t>#93423  3 items  1 error  → SHOPIFY @ MMH Kelowna</t>
        </is>
      </c>
      <c r="E16" s="13" t="inlineStr">
        <is>
          <t>Partial</t>
        </is>
      </c>
      <c r="F16" s="13" t="n"/>
    </row>
    <row r="17">
      <c r="A17" s="13" t="n"/>
      <c r="B17" s="13" t="n"/>
      <c r="C17" s="13" t="n"/>
      <c r="D17" s="13" t="inlineStr">
        <is>
          <t>├─ UFC-4OZ x1  SHOPIFY</t>
        </is>
      </c>
      <c r="E17" s="13" t="inlineStr">
        <is>
          <t>Deducted</t>
        </is>
      </c>
      <c r="F17" s="16" t="n"/>
    </row>
    <row r="18">
      <c r="A18" s="13" t="n"/>
      <c r="B18" s="13" t="n"/>
      <c r="C18" s="13" t="n"/>
      <c r="D18" s="13" t="inlineStr">
        <is>
          <t>├─ TTFC-4OZ x1  SHOPIFY</t>
        </is>
      </c>
      <c r="E18" s="13" t="inlineStr">
        <is>
          <t>Failed</t>
        </is>
      </c>
      <c r="F18" s="13" t="inlineStr">
        <is>
          <t>Remove failed</t>
        </is>
      </c>
    </row>
    <row r="19">
      <c r="A19" s="13" t="n"/>
      <c r="B19" s="13" t="n"/>
      <c r="C19" s="13" t="n"/>
      <c r="D19" s="13" t="inlineStr">
        <is>
          <t>└─ UFC-1OZ x1  SHOPIFY</t>
        </is>
      </c>
      <c r="E19" s="13" t="inlineStr">
        <is>
          <t>Deducted</t>
        </is>
      </c>
      <c r="F19" s="16" t="n"/>
    </row>
    <row r="20">
      <c r="A20" s="13" t="inlineStr">
        <is>
          <t>WK-096</t>
        </is>
      </c>
      <c r="B20" s="14" t="n">
        <v>46084.36805555555</v>
      </c>
      <c r="C20" s="22" t="inlineStr">
        <is>
          <t>#93353</t>
        </is>
      </c>
      <c r="D20" s="13" t="inlineStr">
        <is>
          <t>#93353  UFC-4OZ x1  → SHOPIFY @ MMH Kelowna</t>
        </is>
      </c>
      <c r="E20" s="13" t="inlineStr">
        <is>
          <t>Shipped</t>
        </is>
      </c>
      <c r="F20" s="13" t="n"/>
    </row>
    <row r="21">
      <c r="A21" s="13" t="n"/>
      <c r="B21" s="13" t="n"/>
      <c r="C21" s="13" t="n"/>
      <c r="D21" s="13" t="inlineStr">
        <is>
          <t>└─ UFC-4OZ x1  SHOPIFY</t>
        </is>
      </c>
      <c r="E21" s="13" t="inlineStr">
        <is>
          <t>Deducted</t>
        </is>
      </c>
      <c r="F21" s="16" t="n"/>
    </row>
    <row r="22">
      <c r="A22" s="13" t="inlineStr">
        <is>
          <t>WK-097</t>
        </is>
      </c>
      <c r="B22" s="14" t="n">
        <v>46084.36805555555</v>
      </c>
      <c r="C22" s="22" t="inlineStr">
        <is>
          <t>#93139</t>
        </is>
      </c>
      <c r="D22" s="13" t="inlineStr">
        <is>
          <t>#93139  3 items  → SHOPIFY @ MMH Kelowna</t>
        </is>
      </c>
      <c r="E22" s="13" t="inlineStr">
        <is>
          <t>Shipped</t>
        </is>
      </c>
      <c r="F22" s="13" t="n"/>
    </row>
    <row r="23">
      <c r="A23" s="13" t="n"/>
      <c r="B23" s="13" t="n"/>
      <c r="C23" s="13" t="n"/>
      <c r="D23" s="13" t="inlineStr">
        <is>
          <t>├─ UFC-4OZ x3  SHOPIFY</t>
        </is>
      </c>
      <c r="E23" s="13" t="inlineStr">
        <is>
          <t>Deducted</t>
        </is>
      </c>
      <c r="F23" s="16" t="n"/>
    </row>
    <row r="24">
      <c r="A24" s="13" t="n"/>
      <c r="B24" s="13" t="n"/>
      <c r="C24" s="13" t="n"/>
      <c r="D24" s="13" t="inlineStr">
        <is>
          <t>├─ WH-8OZ-W x1  SHOPIFY  lot:AS081525-1  exp:2027-08-30</t>
        </is>
      </c>
      <c r="E24" s="13" t="inlineStr">
        <is>
          <t>Deducted</t>
        </is>
      </c>
      <c r="F24" s="16" t="n"/>
    </row>
    <row r="25">
      <c r="A25" s="13" t="n"/>
      <c r="B25" s="13" t="n"/>
      <c r="C25" s="13" t="n"/>
      <c r="D25" s="13" t="inlineStr">
        <is>
          <t>└─ TTFC-1OZ x1  SHOPIFY</t>
        </is>
      </c>
      <c r="E25" s="13" t="inlineStr">
        <is>
          <t>Deducted</t>
        </is>
      </c>
      <c r="F25" s="16" t="n"/>
    </row>
    <row r="26">
      <c r="A26" s="13" t="inlineStr">
        <is>
          <t>WK-098</t>
        </is>
      </c>
      <c r="B26" s="14" t="n">
        <v>46084.36805555555</v>
      </c>
      <c r="C26" s="22" t="inlineStr">
        <is>
          <t>#93385</t>
        </is>
      </c>
      <c r="D26" s="13" t="inlineStr">
        <is>
          <t>#93385  3 items  → SHOPIFY @ MMH Kelowna</t>
        </is>
      </c>
      <c r="E26" s="13" t="inlineStr">
        <is>
          <t>Shipped</t>
        </is>
      </c>
      <c r="F26" s="13" t="n"/>
    </row>
    <row r="27">
      <c r="A27" s="13" t="n"/>
      <c r="B27" s="13" t="n"/>
      <c r="C27" s="13" t="n"/>
      <c r="D27" s="13" t="inlineStr">
        <is>
          <t>├─ UFC-4OZ x3  SHOPIFY</t>
        </is>
      </c>
      <c r="E27" s="13" t="inlineStr">
        <is>
          <t>Deducted</t>
        </is>
      </c>
      <c r="F27" s="16" t="n"/>
    </row>
    <row r="28">
      <c r="A28" s="13" t="n"/>
      <c r="B28" s="13" t="n"/>
      <c r="C28" s="13" t="n"/>
      <c r="D28" s="13" t="inlineStr">
        <is>
          <t>├─ WH-8OZ-W x1  SHOPIFY  lot:AS081525-1  exp:2027-08-30</t>
        </is>
      </c>
      <c r="E28" s="13" t="inlineStr">
        <is>
          <t>Deducted</t>
        </is>
      </c>
      <c r="F28" s="16" t="n"/>
    </row>
    <row r="29">
      <c r="A29" s="13" t="n"/>
      <c r="B29" s="13" t="n"/>
      <c r="C29" s="13" t="n"/>
      <c r="D29" s="13" t="inlineStr">
        <is>
          <t>└─ TTFC-1OZ x1  SHOPIFY</t>
        </is>
      </c>
      <c r="E29" s="13" t="inlineStr">
        <is>
          <t>Deducted</t>
        </is>
      </c>
      <c r="F29" s="16" t="n"/>
    </row>
    <row r="30">
      <c r="A30" s="13" t="inlineStr">
        <is>
          <t>WK-099</t>
        </is>
      </c>
      <c r="B30" s="14" t="n">
        <v>46084.36805555555</v>
      </c>
      <c r="C30" s="22" t="inlineStr">
        <is>
          <t>#93188</t>
        </is>
      </c>
      <c r="D30" s="13" t="inlineStr">
        <is>
          <t>#93188  UFC-4OZ x1  → SHOPIFY @ MMH Kelowna</t>
        </is>
      </c>
      <c r="E30" s="13" t="inlineStr">
        <is>
          <t>Shipped</t>
        </is>
      </c>
      <c r="F30" s="13" t="n"/>
    </row>
    <row r="31">
      <c r="A31" s="13" t="n"/>
      <c r="B31" s="13" t="n"/>
      <c r="C31" s="13" t="n"/>
      <c r="D31" s="13" t="inlineStr">
        <is>
          <t>└─ UFC-4OZ x1  SHOPIFY</t>
        </is>
      </c>
      <c r="E31" s="13" t="inlineStr">
        <is>
          <t>Deducted</t>
        </is>
      </c>
      <c r="F31" s="16" t="n"/>
    </row>
    <row r="32">
      <c r="A32" s="13" t="inlineStr">
        <is>
          <t>WK-100</t>
        </is>
      </c>
      <c r="B32" s="14" t="n">
        <v>46084.36805555555</v>
      </c>
      <c r="C32" s="22" t="inlineStr">
        <is>
          <t>#93266</t>
        </is>
      </c>
      <c r="D32" s="13" t="inlineStr">
        <is>
          <t>#93266  UFC-4OZ x1  → SHOPIFY @ MMH Kelowna</t>
        </is>
      </c>
      <c r="E32" s="13" t="inlineStr">
        <is>
          <t>Shipped</t>
        </is>
      </c>
      <c r="F32" s="13" t="n"/>
    </row>
    <row r="33">
      <c r="A33" s="13" t="n"/>
      <c r="B33" s="13" t="n"/>
      <c r="C33" s="13" t="n"/>
      <c r="D33" s="13" t="inlineStr">
        <is>
          <t>└─ UFC-4OZ x1  SHOPIFY</t>
        </is>
      </c>
      <c r="E33" s="13" t="inlineStr">
        <is>
          <t>Deducted</t>
        </is>
      </c>
      <c r="F33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2026-03-05T22:10:39Z</dcterms:created>
  <dcterms:modified xsi:type="dcterms:W3CDTF">2026-03-05T22:10:39Z</dcterms:modified>
</cp:coreProperties>
</file>